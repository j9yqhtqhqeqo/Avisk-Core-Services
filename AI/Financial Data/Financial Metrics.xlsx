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Financial Data/"/>
    </mc:Choice>
  </mc:AlternateContent>
  <xr:revisionPtr revIDLastSave="0" documentId="13_ncr:1_{327B8CD4-94E7-5341-8781-6294AD51A11A}" xr6:coauthVersionLast="47" xr6:coauthVersionMax="47" xr10:uidLastSave="{00000000-0000-0000-0000-000000000000}"/>
  <bookViews>
    <workbookView xWindow="0" yWindow="760" windowWidth="34560" windowHeight="20400" activeTab="3" xr2:uid="{AF49E124-B337-A148-BA1F-A711622142D3}"/>
  </bookViews>
  <sheets>
    <sheet name="Sheet1" sheetId="1" r:id="rId1"/>
    <sheet name="Sheet3" sheetId="4" r:id="rId2"/>
    <sheet name="SQL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4" l="1"/>
  <c r="P13" i="4"/>
  <c r="P12" i="4"/>
  <c r="P11" i="4"/>
  <c r="P10" i="4"/>
  <c r="P9" i="4"/>
  <c r="M10" i="4"/>
  <c r="M11" i="4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" i="3"/>
  <c r="S94" i="1"/>
  <c r="S43" i="1"/>
  <c r="G208" i="1"/>
  <c r="H208" i="1"/>
  <c r="G209" i="1"/>
  <c r="H209" i="1" s="1"/>
  <c r="D198" i="1"/>
  <c r="D197" i="1"/>
  <c r="D196" i="1"/>
  <c r="D195" i="1"/>
  <c r="D194" i="1"/>
  <c r="D191" i="1"/>
  <c r="D193" i="1"/>
  <c r="D192" i="1"/>
  <c r="D190" i="1"/>
  <c r="D189" i="1"/>
  <c r="D188" i="1"/>
  <c r="D186" i="1"/>
  <c r="D187" i="1"/>
  <c r="D185" i="1"/>
  <c r="D184" i="1"/>
  <c r="D183" i="1"/>
  <c r="D182" i="1"/>
  <c r="D181" i="1"/>
  <c r="D180" i="1"/>
  <c r="N179" i="1"/>
  <c r="D179" i="1"/>
  <c r="D178" i="1"/>
  <c r="D177" i="1"/>
  <c r="D176" i="1"/>
  <c r="H176" i="1"/>
  <c r="D171" i="1"/>
  <c r="D172" i="1"/>
  <c r="D170" i="1"/>
  <c r="D168" i="1"/>
  <c r="D169" i="1"/>
  <c r="D167" i="1"/>
  <c r="D148" i="1"/>
  <c r="D149" i="1"/>
  <c r="D150" i="1"/>
  <c r="D146" i="1"/>
  <c r="D147" i="1"/>
  <c r="D145" i="1"/>
  <c r="E143" i="1"/>
  <c r="O137" i="1"/>
  <c r="O116" i="1"/>
  <c r="M116" i="1"/>
  <c r="K116" i="1"/>
  <c r="J116" i="1"/>
  <c r="R116" i="1" s="1"/>
  <c r="I116" i="1"/>
  <c r="G116" i="1"/>
  <c r="H116" i="1" s="1"/>
  <c r="F116" i="1"/>
  <c r="D86" i="1"/>
  <c r="D87" i="1"/>
  <c r="D88" i="1"/>
  <c r="D89" i="1"/>
  <c r="D90" i="1"/>
  <c r="D91" i="1"/>
  <c r="D92" i="1"/>
  <c r="D93" i="1"/>
  <c r="D94" i="1"/>
  <c r="D95" i="1"/>
  <c r="D85" i="1"/>
  <c r="H73" i="1"/>
  <c r="N73" i="1"/>
  <c r="P73" i="1"/>
  <c r="R73" i="1"/>
  <c r="S73" i="1"/>
  <c r="N67" i="1"/>
  <c r="N5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60" i="1"/>
  <c r="N61" i="1"/>
  <c r="N62" i="1"/>
  <c r="N63" i="1"/>
  <c r="N64" i="1"/>
  <c r="N65" i="1"/>
  <c r="N66" i="1"/>
  <c r="N68" i="1"/>
  <c r="N69" i="1"/>
  <c r="N70" i="1"/>
  <c r="N71" i="1"/>
  <c r="N72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8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3" i="1"/>
  <c r="P24" i="1"/>
  <c r="P25" i="1"/>
  <c r="P26" i="1"/>
  <c r="D59" i="1"/>
  <c r="D60" i="1"/>
  <c r="D61" i="1"/>
  <c r="D62" i="1"/>
  <c r="D57" i="1"/>
  <c r="E45" i="1"/>
  <c r="E46" i="1"/>
  <c r="E47" i="1"/>
  <c r="E48" i="1"/>
  <c r="E49" i="1"/>
  <c r="E50" i="1"/>
  <c r="E51" i="1"/>
  <c r="E52" i="1"/>
  <c r="E53" i="1"/>
  <c r="E54" i="1"/>
  <c r="E55" i="1"/>
  <c r="E56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4" i="1"/>
  <c r="E156" i="1"/>
  <c r="E157" i="1"/>
  <c r="E158" i="1"/>
  <c r="E159" i="1"/>
  <c r="E160" i="1"/>
  <c r="E161" i="1"/>
  <c r="E162" i="1"/>
  <c r="E163" i="1"/>
  <c r="E164" i="1"/>
  <c r="E165" i="1"/>
  <c r="E166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H45" i="1"/>
  <c r="E44" i="1"/>
  <c r="H44" i="1"/>
  <c r="E43" i="1"/>
  <c r="S33" i="1"/>
  <c r="S32" i="1"/>
  <c r="S29" i="1"/>
  <c r="S26" i="1"/>
  <c r="S25" i="1"/>
  <c r="S24" i="1"/>
  <c r="S23" i="1"/>
  <c r="D37" i="1"/>
  <c r="E37" i="1" s="1"/>
  <c r="G34" i="1"/>
  <c r="H34" i="1" s="1"/>
  <c r="H35" i="1"/>
  <c r="H36" i="1"/>
  <c r="H37" i="1"/>
  <c r="H38" i="1"/>
  <c r="H39" i="1"/>
  <c r="H40" i="1"/>
  <c r="H41" i="1"/>
  <c r="H42" i="1"/>
  <c r="H43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10" i="1"/>
  <c r="H211" i="1"/>
  <c r="H212" i="1"/>
  <c r="H213" i="1"/>
  <c r="H214" i="1"/>
  <c r="H215" i="1"/>
  <c r="H216" i="1"/>
  <c r="H217" i="1"/>
  <c r="H218" i="1"/>
  <c r="H219" i="1"/>
  <c r="H220" i="1"/>
  <c r="E34" i="1"/>
  <c r="E35" i="1"/>
  <c r="E36" i="1"/>
  <c r="E38" i="1"/>
  <c r="E39" i="1"/>
  <c r="E40" i="1"/>
  <c r="E41" i="1"/>
  <c r="E42" i="1"/>
  <c r="J20" i="1"/>
  <c r="R20" i="1" s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" i="1"/>
  <c r="S13" i="1"/>
  <c r="S14" i="1"/>
  <c r="S15" i="1"/>
  <c r="S16" i="1"/>
  <c r="S17" i="1"/>
  <c r="S18" i="1"/>
  <c r="S19" i="1"/>
  <c r="S20" i="1"/>
  <c r="S21" i="1"/>
  <c r="S22" i="1"/>
  <c r="S27" i="1"/>
  <c r="S28" i="1"/>
  <c r="S30" i="1"/>
  <c r="S31" i="1"/>
  <c r="S34" i="1"/>
  <c r="S35" i="1"/>
  <c r="S36" i="1"/>
  <c r="S37" i="1"/>
  <c r="S38" i="1"/>
  <c r="S39" i="1"/>
  <c r="S40" i="1"/>
  <c r="S41" i="1"/>
  <c r="S42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P12" i="1"/>
  <c r="P13" i="1"/>
  <c r="P14" i="1"/>
  <c r="P15" i="1"/>
  <c r="P16" i="1"/>
  <c r="P17" i="1"/>
  <c r="P18" i="1"/>
  <c r="P19" i="1"/>
  <c r="P20" i="1"/>
  <c r="P21" i="1"/>
  <c r="P22" i="1"/>
  <c r="S12" i="1"/>
  <c r="H12" i="1"/>
  <c r="H13" i="1"/>
  <c r="H14" i="1"/>
  <c r="H15" i="1"/>
  <c r="H16" i="1"/>
  <c r="H17" i="1"/>
  <c r="H18" i="1"/>
  <c r="H19" i="1"/>
  <c r="H20" i="1"/>
  <c r="H21" i="1"/>
  <c r="H22" i="1"/>
  <c r="E12" i="1"/>
  <c r="E13" i="1"/>
  <c r="E14" i="1"/>
  <c r="E15" i="1"/>
  <c r="E16" i="1"/>
  <c r="E17" i="1"/>
  <c r="E18" i="1"/>
  <c r="E19" i="1"/>
  <c r="E20" i="1"/>
  <c r="E21" i="1"/>
  <c r="E22" i="1"/>
  <c r="R3" i="1"/>
  <c r="R4" i="1"/>
  <c r="R5" i="1"/>
  <c r="R6" i="1"/>
  <c r="R7" i="1"/>
  <c r="R8" i="1"/>
  <c r="R9" i="1"/>
  <c r="R10" i="1"/>
  <c r="R11" i="1"/>
  <c r="S6" i="1"/>
  <c r="S7" i="1"/>
  <c r="S8" i="1"/>
  <c r="S9" i="1"/>
  <c r="S10" i="1"/>
  <c r="S11" i="1"/>
  <c r="P8" i="1"/>
  <c r="P9" i="1"/>
  <c r="P10" i="1"/>
  <c r="P11" i="1"/>
  <c r="H8" i="1"/>
  <c r="H9" i="1"/>
  <c r="H10" i="1"/>
  <c r="H11" i="1"/>
  <c r="P7" i="1"/>
  <c r="H7" i="1"/>
  <c r="P6" i="1"/>
  <c r="H6" i="1"/>
  <c r="E6" i="1"/>
  <c r="E7" i="1"/>
  <c r="E8" i="1"/>
  <c r="E9" i="1"/>
  <c r="E10" i="1"/>
  <c r="E11" i="1"/>
  <c r="S4" i="1"/>
  <c r="S5" i="1"/>
  <c r="P5" i="1"/>
  <c r="H5" i="1"/>
  <c r="E5" i="1"/>
  <c r="P4" i="1"/>
  <c r="H3" i="1"/>
  <c r="H2" i="1"/>
  <c r="H4" i="1"/>
  <c r="E4" i="1"/>
  <c r="S3" i="1"/>
  <c r="P3" i="1"/>
  <c r="E3" i="1"/>
  <c r="S2" i="1"/>
  <c r="P2" i="1"/>
  <c r="E2" i="1"/>
  <c r="D58" i="1"/>
  <c r="D151" i="1"/>
  <c r="D152" i="1"/>
  <c r="D155" i="1"/>
  <c r="D154" i="1"/>
  <c r="D153" i="1"/>
  <c r="D175" i="1"/>
  <c r="D174" i="1"/>
  <c r="D173" i="1"/>
  <c r="N116" i="1" l="1"/>
  <c r="P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tc={263948EF-63F0-774F-920B-C05F41ACCCDF}</author>
  </authors>
  <commentList>
    <comment ref="A83" authorId="0" shapeId="0" xr:uid="{263948EF-63F0-774F-920B-C05F41ACCCD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Currency Changed from CAD$ to USD$</t>
      </text>
    </comment>
  </commentList>
</comments>
</file>

<file path=xl/sharedStrings.xml><?xml version="1.0" encoding="utf-8"?>
<sst xmlns="http://schemas.openxmlformats.org/spreadsheetml/2006/main" count="1043" uniqueCount="242">
  <si>
    <t>Stock Price</t>
  </si>
  <si>
    <t>Sharpe Ratio</t>
  </si>
  <si>
    <t>Year</t>
  </si>
  <si>
    <t>Company</t>
  </si>
  <si>
    <t>EPS</t>
  </si>
  <si>
    <t>Assets</t>
  </si>
  <si>
    <t>Liabilities</t>
  </si>
  <si>
    <t>Equity(F-G)</t>
  </si>
  <si>
    <t>Net Income</t>
  </si>
  <si>
    <t>Return on Assets(I/F)</t>
  </si>
  <si>
    <t>Volatility(Beta)</t>
  </si>
  <si>
    <t>ANTERO RESOURCES Corp</t>
  </si>
  <si>
    <t>CF - Financing</t>
  </si>
  <si>
    <t>CF-Investing</t>
  </si>
  <si>
    <t>CF-Operations</t>
  </si>
  <si>
    <t>Revenue</t>
  </si>
  <si>
    <t>EBITDA</t>
  </si>
  <si>
    <t>P/E Ratio(O/J)</t>
  </si>
  <si>
    <t>Callon Petroleum</t>
  </si>
  <si>
    <t>pdf</t>
  </si>
  <si>
    <t>Chesapeake Energy</t>
  </si>
  <si>
    <t>https://app.quotemedia.com/data/downloadFiling?webmasterId=101533&amp;ref=114829726&amp;type=PDF&amp;symbol=CHK&amp;companyName=Chesapeake+Energy+Corporation&amp;formType=10-K&amp;dateFiled=2020-02-27&amp;CK=895126</t>
  </si>
  <si>
    <t>https://app.quotemedia.com/data/downloadFiling?webmasterId=101533&amp;ref=115684457&amp;type=PDF&amp;symbol=CHK&amp;companyName=Chesapeake+Energy+Corporation&amp;formType=10-K&amp;dateFiled=2021-03-01&amp;CK=895126</t>
  </si>
  <si>
    <t>https://app.quotemedia.com/data/downloadFiling?webmasterId=101533&amp;ref=116490942&amp;type=PDF&amp;symbol=CHK&amp;companyName=Chesapeake+Energy+Corporation&amp;formType=10-K&amp;dateFiled=2022-02-24&amp;CK=895126</t>
  </si>
  <si>
    <t>https://app.quotemedia.com/data/downloadFiling?webmasterId=101533&amp;ref=117270814&amp;type=PDF&amp;symbol=CHK&amp;companyName=Chesapeake+Energy+Corporation&amp;formType=10-K&amp;dateFiled=2023-02-22&amp;CK=895126</t>
  </si>
  <si>
    <t>Chord Energy</t>
  </si>
  <si>
    <t>https://app.quotemedia.com/data/downloadFiling?webmasterId=101533&amp;ref=117294757&amp;type=PDF&amp;symbol=CHRD&amp;companyName=Chord+Energy+Corporation&amp;formType=10-K&amp;dateFiled=2023-02-28&amp;CK=1486159</t>
  </si>
  <si>
    <t>Civitas Resources</t>
  </si>
  <si>
    <t>https://d18rn0p25nwr6d.cloudfront.net/CIK-0001509589/4d17e6a3-90f7-4278-b108-816836fea1da.pdf</t>
  </si>
  <si>
    <t>https://d18rn0p25nwr6d.cloudfront.net/CIK-0001509589/5096b438-430b-4152-97bf-72aada14563c.pdf</t>
  </si>
  <si>
    <t>ConocoPhillips</t>
  </si>
  <si>
    <t>webpage</t>
  </si>
  <si>
    <t>https://www.sec.gov/Archives/edgar/data/0001163165/000119312513065426/d452384d10k.htm</t>
  </si>
  <si>
    <t>https://www.sec.gov/Archives/edgar/data/0001163165/000119312514066358/d665238d10k.htm</t>
  </si>
  <si>
    <t>https://www.sec.gov/Archives/edgar/data/0001163165/000119312515059281/d869001d10k.htm</t>
  </si>
  <si>
    <t>https://www.sec.gov/Archives/edgar/data/0001163165/000119312516472901/d145414d10k.htm</t>
  </si>
  <si>
    <t>https://www.sec.gov/Archives/edgar/data/0001163165/000119312517050077/d264316d10k.htm</t>
  </si>
  <si>
    <t>https://conocophillips.gcs-web.com/static-files/4d07a67d-cb65-4a3b-b2ed-01ce56c75daa</t>
  </si>
  <si>
    <t>https://conocophillips.gcs-web.com/static-files/50a730a7-bd1d-4a47-adab-3f1e44d90724</t>
  </si>
  <si>
    <t>https://conocophillips.gcs-web.com/static-files/22066167-4635-4752-9770-a654a1949d34</t>
  </si>
  <si>
    <t>https://conocophillips.gcs-web.com/static-files/0e03f119-fbb5-4fd8-b277-e007200526b2</t>
  </si>
  <si>
    <t>https://conocophillips.gcs-web.com/static-files/4e65e89c-0495-46d8-ab9d-15925e5a2d80</t>
  </si>
  <si>
    <t>https://conocophillips.gcs-web.com/static-files/93ced561-e23a-4949-9b88-ec7ad6606df5</t>
  </si>
  <si>
    <t>Coterra Energy Inc.</t>
  </si>
  <si>
    <t>https://d18rn0p25nwr6d.cloudfront.net/CIK-0000858470/84c3e83a-269f-4efa-bd1b-cb27b131e99a.pdf</t>
  </si>
  <si>
    <t>https://d18rn0p25nwr6d.cloudfront.net/CIK-0000858470/4bcf375f-3bc9-4a9c-9ce8-5b478c0e2607.pdf</t>
  </si>
  <si>
    <t>Crescent Energy Co</t>
  </si>
  <si>
    <t>https://www.crescentpointenergy.com/sites/default/files/cpg_ye_2017_aif_-_final.pdf</t>
  </si>
  <si>
    <t>https://www.crescentpointenergy.com/sites/default/files/cpg-2018-aif.pdf</t>
  </si>
  <si>
    <t>https://www.crescentpointenergy.com/sites/default/files/cpg-ye-2019-aif-final-web.pdf</t>
  </si>
  <si>
    <t>https://www.crescentpointenergy.com/sites/default/files/cpg_ye_2020_aif_-_final.pdf</t>
  </si>
  <si>
    <t>https://www.crescentpointenergy.com/sites/default/files/cpg_ye_2021_aif_-_final.pdf</t>
  </si>
  <si>
    <t>https://www.crescentpointenergy.com/sites/default/files/cpg_ye_2022_aif_-_final.pdf</t>
  </si>
  <si>
    <t>https://www.crescentpointenergy.com/sites/default/files/cpg_ye_2016_aif_-_final.pdf</t>
  </si>
  <si>
    <t>Devon Energy Corporation</t>
  </si>
  <si>
    <t>https://s2.q4cdn.com/462548525/files/doc_financials/Annual/2017/DVN-2017-10-K-Letter-to-Shareholders.pdf</t>
  </si>
  <si>
    <t>https://s2.q4cdn.com/462548525/files/doc_financials/Annual/2018/DVN-2018-10-K.pdf</t>
  </si>
  <si>
    <t>https://s2.q4cdn.com/462548525/files/doc_financials/Annual/2019/DVN-2019-10-K.pdf</t>
  </si>
  <si>
    <t>https://s2.q4cdn.com/462548525/files/doc_financials/2020/ar/DVN-2020-10-K.pdf</t>
  </si>
  <si>
    <t>https://s2.q4cdn.com/462548525/files/doc_financials/2021/ar/DVN-2021-10-K.pdf</t>
  </si>
  <si>
    <t>https://s2.q4cdn.com/462548525/files/doc_financials/2022/ar/dvn-2022-10-k-final.pdf</t>
  </si>
  <si>
    <t>Diamondback Energy, Inc.</t>
  </si>
  <si>
    <t>https://www.diamondbackenergy.com/static-files/8e6404c0-42f5-4152-8033-94d4939bd50d</t>
  </si>
  <si>
    <t>https://www.diamondbackenergy.com/static-files/2f766336-69bc-468e-a10d-dc38bbc6408b</t>
  </si>
  <si>
    <t>https://www.diamondbackenergy.com/static-files/e2b5d9e5-8832-4b09-a786-d17ba9f57a56</t>
  </si>
  <si>
    <t>Diversified Energy</t>
  </si>
  <si>
    <t>https://d1io3yog0oux5.cloudfront.net/_51a96886aca58524cfaa2b5037f03f42/dgoc/db/553/4192/file/Annual-Report-for-the-period-ended-31-December-2015.pdf</t>
  </si>
  <si>
    <t>https://d1io3yog0oux5.cloudfront.net/_51a96886aca58524cfaa2b5037f03f42/dgoc/db/553/4185/file/2016-Diversified-Gas-and-Oil-Annual-Report-Northpoint.pdf</t>
  </si>
  <si>
    <t>https://d1io3yog0oux5.cloudfront.net/_51a96886aca58524cfaa2b5037f03f42/dgoc/db/553/4195/file/DGO+AR+2017.pdf</t>
  </si>
  <si>
    <t>https://d1io3yog0oux5.cloudfront.net/_51a96886aca58524cfaa2b5037f03f42/dgoc/db/553/4301/file/DGO+AR+2018-vFinal.pdf</t>
  </si>
  <si>
    <t>https://d1io3yog0oux5.cloudfront.net/_51a96886aca58524cfaa2b5037f03f42/dgoc/db/553/4389/file/DGO_Annual_Report_2019_Digital%5Bw+SR+link%5D.pdf</t>
  </si>
  <si>
    <t>https://d1io3yog0oux5.cloudfront.net/_51a96886aca58524cfaa2b5037f03f42/dgoc/db/553/4461/file/DGOC_2020_Annual_Report.pdf</t>
  </si>
  <si>
    <t>https://d1io3yog0oux5.cloudfront.net/_51a96886aca58524cfaa2b5037f03f42/dgoc/db/553/4552/file/DEC_2021_ANNUAL_REPORT_LOWRESWEB.pdf</t>
  </si>
  <si>
    <t>https://d1io3yog0oux5.cloudfront.net/_51a96886aca58524cfaa2b5037f03f42/dgoc/db/553/4653/file/DEC+2022+Annual+Report.pdf</t>
  </si>
  <si>
    <t>Enerplus Resources (USA) Corporation</t>
  </si>
  <si>
    <t>https://d18rn0p25nwr6d.cloudfront.net/CIK-0001126874/78c444d5-596a-43ff-a672-e6972f189216.pdf</t>
  </si>
  <si>
    <t>https://d18rn0p25nwr6d.cloudfront.net/CIK-0001126874/8ccef5e0-3228-456a-ae65-08b91bf2925e.pdf</t>
  </si>
  <si>
    <t>https://d18rn0p25nwr6d.cloudfront.net/CIK-0001126874/5430bae3-e0a8-41c1-81c8-395a0f0ce9b4.pdf</t>
  </si>
  <si>
    <t>https://d18rn0p25nwr6d.cloudfront.net/CIK-0001126874/95eb478b-3ef2-48e7-a1a8-3fc382820b5d.pdf</t>
  </si>
  <si>
    <t>https://d18rn0p25nwr6d.cloudfront.net/CIK-0001126874/5c8de1c6-a37f-4633-a5af-e6f5605e2b07.pdf</t>
  </si>
  <si>
    <t>https://d18rn0p25nwr6d.cloudfront.net/CIK-0001126874/4d1be2b9-4d25-4344-9e2a-9bcfb364ea2f.pdf</t>
  </si>
  <si>
    <t>https://d18rn0p25nwr6d.cloudfront.net/CIK-0001126874/58e36b54-6d33-4012-8c80-178d97f95784.pdf</t>
  </si>
  <si>
    <t>https://d18rn0p25nwr6d.cloudfront.net/CIK-0001126874/a1168698-d11c-436c-8ca7-6cdbbd64e7a3.pdf</t>
  </si>
  <si>
    <t>https://d18rn0p25nwr6d.cloudfront.net/CIK-0001126874/a0ca5e4b-0958-4ac1-99c2-498dfa702a09.pdf</t>
  </si>
  <si>
    <t>https://d18rn0p25nwr6d.cloudfront.net/CIK-0001126874/3185fa93-5beb-45d8-ab44-8d482be8d3c8.pdf</t>
  </si>
  <si>
    <t>https://d18rn0p25nwr6d.cloudfront.net/CIK-0001126874/0adc1c62-5fcc-46bd-827f-f35f4b8bd4aa.pdf</t>
  </si>
  <si>
    <t>EOG Resources, Inc.</t>
  </si>
  <si>
    <t>https://d18rn0p25nwr6d.cloudfront.net/CIK-0000821189/b2d61cb8-b97b-4069-b2d2-915b7ef88516.pdf</t>
  </si>
  <si>
    <t>https://d18rn0p25nwr6d.cloudfront.net/CIK-0000821189/de2388c3-b10a-4e7d-9f7b-d2f35f19e7f2.pdf</t>
  </si>
  <si>
    <t>https://d18rn0p25nwr6d.cloudfront.net/CIK-0000821189/cf333882-f94d-4538-afc6-b0e93b134123.pdf</t>
  </si>
  <si>
    <t>https://d18rn0p25nwr6d.cloudfront.net/CIK-0000821189/e68c5034-607f-45f1-b989-a58d6cbdbce3.pdf</t>
  </si>
  <si>
    <t>https://d18rn0p25nwr6d.cloudfront.net/CIK-0000821189/c1769115-f52c-49ae-a4bc-948478b6442d.pdf</t>
  </si>
  <si>
    <t>https://d18rn0p25nwr6d.cloudfront.net/CIK-0000821189/7def5ae3-4a64-4401-bb17-207d38a405e0.pdf</t>
  </si>
  <si>
    <t>https://d18rn0p25nwr6d.cloudfront.net/CIK-0000821189/a7088e2c-43e0-4d48-bbd2-0aed3856894c.pdf</t>
  </si>
  <si>
    <t>https://d18rn0p25nwr6d.cloudfront.net/CIK-0000821189/41563992-3bc8-4e02-9878-2a6d2dd1d390.pdf</t>
  </si>
  <si>
    <t>https://d18rn0p25nwr6d.cloudfront.net/CIK-0000821189/67292e0b-e2b4-451e-90ec-aff44b92f72d.pdf</t>
  </si>
  <si>
    <t>https://d18rn0p25nwr6d.cloudfront.net/CIK-0000821189/c200b945-fff1-4026-aaec-f9d2a83a32e1.pdf</t>
  </si>
  <si>
    <t>https://investors.eogresources.com/files/doc_downloads/2022/2022-12-31-10-K-Final-Publish-Ready.pdf</t>
  </si>
  <si>
    <t>EQT Corporation</t>
  </si>
  <si>
    <t>https://s24.q4cdn.com/922296017/files/financials/annual/12-31-2012_10-K_Clean_Final_Draft.pdf</t>
  </si>
  <si>
    <t>https://s24.q4cdn.com/922296017/files/financials/annual/12-31-2013_10-K_-_FINAL.pdf</t>
  </si>
  <si>
    <t>https://s24.q4cdn.com/922296017/files/financials/annual/EQT-12.31.2014-10K_Final.pdf</t>
  </si>
  <si>
    <t>https://s24.q4cdn.com/922296017/files/financials/annual/2015_Annual_Report_on_Form_10-K.pdf</t>
  </si>
  <si>
    <t>https://s24.q4cdn.com/922296017/files/financials/annual/EQT-12.31.2016-10K_-_FINAL.pdf</t>
  </si>
  <si>
    <t>https://s24.q4cdn.com/922296017/files/financials/annual/EQT-12.31.2017-10K_-_FINAL.pdf</t>
  </si>
  <si>
    <t>https://s24.q4cdn.com/922296017/files/financials/annual/EQT_Form_10-K_2018.pdf</t>
  </si>
  <si>
    <t>https://s24.q4cdn.com/922296017/files/doc_financials/2019/ar/a71a4af5-9187-40f6-ace3-4fb9fdc64013.pdf</t>
  </si>
  <si>
    <t>https://s24.q4cdn.com/922296017/files/doc_financials/2020/ar/221268ed-ac64-42c4-aede-98cf28b4b1b1.pdf</t>
  </si>
  <si>
    <t>https://s24.q4cdn.com/922296017/files/doc_financials/2021/ar/10e66d02-3af5-4fda-bb24-40e161e8a100.pdf</t>
  </si>
  <si>
    <t>https://s24.q4cdn.com/922296017/files/doc_financials/2022/ar/ac4bfd4c-5026-4270-ac19-606e3aaa1126.pdf</t>
  </si>
  <si>
    <t>Gulfport Energy Corporation</t>
  </si>
  <si>
    <t>https://www.gulfportenergy.com/investors/sec-filings/annual-reports/content/0001445305-13-000396/0001445305-13-000396.pdf</t>
  </si>
  <si>
    <t>https://www.gulfportenergy.com/investors/sec-filings/annual-reports/content/0001445305-14-000751/0001445305-14-000751.pdf</t>
  </si>
  <si>
    <t>https://www.gulfportenergy.com/investors/sec-filings/annual-reports/content/0001628280-15-001182/0001628280-15-001182.pdf</t>
  </si>
  <si>
    <t>https://www.gulfportenergy.com/investors/sec-filings/annual-reports/content/0001628280-16-011417/0001628280-16-011417.pdf</t>
  </si>
  <si>
    <t>https://www.gulfportenergy.com/investors/sec-filings/annual-reports/content/0001628280-17-001359/0001628280-17-001359.pdf</t>
  </si>
  <si>
    <t>https://www.gulfportenergy.com/investors/sec-filings/annual-reports/content/0001628280-18-002041/0001628280-18-002041.pdf</t>
  </si>
  <si>
    <t>https://www.gulfportenergy.com/investors/sec-filings/annual-reports/content/0001628280-19-002242/0001628280-19-002242.pdf</t>
  </si>
  <si>
    <t>https://www.gulfportenergy.com/investors/sec-filings/annual-reports/content/0001628280-20-002453/0001628280-20-002453.pdf</t>
  </si>
  <si>
    <t>https://www.gulfportenergy.com/investors/sec-filings/annual-reports/content/0001628280-21-004026/0001628280-21-004026.pdf</t>
  </si>
  <si>
    <t>https://www.gulfportenergy.com/investors/sec-filings/annual-reports/content/0001628280-22-004445/0001628280-22-004445.pdf</t>
  </si>
  <si>
    <t>https://www.gulfportenergy.com/investors/sec-filings/annual-reports/content/0001628280-23-005790/0001628280-23-005790.pdf</t>
  </si>
  <si>
    <t>Hess</t>
  </si>
  <si>
    <t>https://investors.hess.com/static-files/81cdab42-1148-4899-8bdb-02075a59d7b3</t>
  </si>
  <si>
    <t>https://investors.hess.com/static-files/32450713-ab31-497a-a7df-02231a049af4</t>
  </si>
  <si>
    <t>https://investors.hess.com/static-files/57b3c629-7d74-4123-a399-55a652934133</t>
  </si>
  <si>
    <t>https://investors.hess.com/static-files/4f6e0d06-90a6-4dfe-aed5-8d4564b0b24c</t>
  </si>
  <si>
    <t>https://investors.hess.com/static-files/1cc5b09b-3f20-4b76-a21b-b9d99544cd2a</t>
  </si>
  <si>
    <t>https://investors.hess.com/static-files/f5afc585-21f1-41ff-8d79-1f458f81e4e5</t>
  </si>
  <si>
    <t>https://investors.hess.com/static-files/5d549cd4-9459-4c20-ae85-21d0604213bf</t>
  </si>
  <si>
    <t>https://investors.hess.com/static-files/69eb6edd-5b68-4b0b-8a64-64117b90c101</t>
  </si>
  <si>
    <t>https://investors.hess.com/static-files/0521f32c-e8dc-4e87-8fc6-8b57b8d49c5f</t>
  </si>
  <si>
    <t>https://investors.hess.com/static-files/e273292b-6dd1-40e8-bdf6-f9a6ea46ffdb</t>
  </si>
  <si>
    <t>https://investors.hess.com/static-files/91548b6a-97b4-4135-bc16-54f9ab9f4be8</t>
  </si>
  <si>
    <t>Marathon Oil Corporation</t>
  </si>
  <si>
    <t>https://app.quotemedia.com/data/downloadFiling?webmasterId=101533&amp;ref=110496607&amp;type=PDF&amp;symbol=MRO&amp;companyName=Marathon+Oil+Corporation&amp;formType=10-K&amp;dateFiled=2014-02-28&amp;CK=101778</t>
  </si>
  <si>
    <t>https://app.quotemedia.com/data/downloadFiling?webmasterId=101533&amp;ref=100351553&amp;type=PDF&amp;symbol=MRO&amp;companyName=Marathon+Oil+Corporation&amp;formType=10-K&amp;dateFiled=2015-03-02&amp;CK=101778</t>
  </si>
  <si>
    <t>https://app.quotemedia.com/data/downloadFiling?webmasterId=101533&amp;ref=100224460&amp;type=PDF&amp;symbol=MRO&amp;companyName=Marathon+Oil+Corporation&amp;formType=10-K&amp;dateFiled=2016-02-25&amp;CK=101778</t>
  </si>
  <si>
    <t>https://app.quotemedia.com/data/downloadFiling?webmasterId=101533&amp;ref=100948278&amp;type=PDF&amp;symbol=MRO&amp;companyName=Marathon+Oil+Corporation&amp;formType=10-K&amp;dateFiled=2017-02-24&amp;CK=101778</t>
  </si>
  <si>
    <t>https://app.quotemedia.com/data/downloadFiling?webmasterId=101533&amp;ref=100321163&amp;type=PDF&amp;symbol=MRO&amp;companyName=Marathon+Oil+Corporation&amp;formType=10-K&amp;dateFiled=2018-02-22&amp;CK=101778</t>
  </si>
  <si>
    <t>https://app.quotemedia.com/data/downloadFiling?webmasterId=101533&amp;ref=112759059&amp;type=PDF&amp;symbol=MRO&amp;companyName=Marathon+Oil+Corporation&amp;formType=10-K&amp;dateFiled=2019-02-21&amp;CK=101778</t>
  </si>
  <si>
    <t>https://app.quotemedia.com/data/downloadFiling?webmasterId=101533&amp;ref=114812266&amp;type=PDF&amp;symbol=MRO&amp;companyName=Marathon+Oil+Corporation&amp;formType=10-K&amp;dateFiled=2020-02-20&amp;CK=101778</t>
  </si>
  <si>
    <t>https://app.quotemedia.com/data/downloadFiling?webmasterId=101533&amp;ref=115660019&amp;type=PDF&amp;symbol=MRO&amp;companyName=Marathon+Oil+Corporation&amp;formType=10-K&amp;dateFiled=2021-02-23&amp;CK=101778</t>
  </si>
  <si>
    <t>https://app.quotemedia.com/data/downloadFiling?webmasterId=101533&amp;ref=116472504&amp;type=PDF&amp;symbol=MRO&amp;companyName=Marathon+Oil+Corporation&amp;formType=10-K&amp;dateFiled=2022-02-17&amp;CK=101778</t>
  </si>
  <si>
    <t>https://app.quotemedia.com/data/downloadFiling?webmasterId=101533&amp;ref=117261662&amp;type=PDF&amp;symbol=MRO&amp;companyName=Marathon+Oil+Corporation&amp;formType=10-K&amp;dateFiled=2023-02-16&amp;CK=101778</t>
  </si>
  <si>
    <t>Ovintiv, Inc.</t>
  </si>
  <si>
    <t>https://app.quotemedia.com/data/downloadFiling?webmasterId=101533&amp;ref=114813975&amp;type=PDF&amp;formType=10-K&amp;dateFiled=2020-02-21&amp;cik=0001792580&amp;CK=1792580&amp;symbol=0001792580&amp;companyName=Ovintiv</t>
  </si>
  <si>
    <t>https://app.quotemedia.com/data/downloadFiling?webmasterId=101533&amp;ref=115647876&amp;type=PDF&amp;formType=10-K&amp;dateFiled=2021-02-18&amp;cik=0001792580&amp;CK=1792580&amp;symbol=0001792580&amp;companyName=Ovintiv</t>
  </si>
  <si>
    <t>https://app.quotemedia.com/data/downloadFiling?webmasterId=101533&amp;ref=116493681&amp;type=PDF&amp;formType=10-K&amp;dateFiled=2022-02-25&amp;cik=0001792580&amp;CK=1792580&amp;symbol=0001792580&amp;companyName=Ovintiv</t>
  </si>
  <si>
    <t>https://app.quotemedia.com/data/downloadFiling?webmasterId=101533&amp;ref=117288930&amp;type=PDF&amp;formType=10-K&amp;dateFiled=2023-02-27&amp;cik=0001792580&amp;CK=1792580&amp;symbol=0001792580&amp;companyName=Ovintiv</t>
  </si>
  <si>
    <t>Permian Resources</t>
  </si>
  <si>
    <t>https://dd7pmep5szm19.cloudfront.net/2754/0001658566-23-000019.pdf</t>
  </si>
  <si>
    <t>Pioneer Natural Resources Company</t>
  </si>
  <si>
    <t>https://d18rn0p25nwr6d.cloudfront.net/CIK-0001038357/de87362f-9162-47ca-894a-3074fbf2fcd5.pdf</t>
  </si>
  <si>
    <t>https://d18rn0p25nwr6d.cloudfront.net/CIK-0001038357/b3a5769e-8b7b-4f3d-81a8-50a108794f04.pdf</t>
  </si>
  <si>
    <t>https://d18rn0p25nwr6d.cloudfront.net/CIK-0001038357/8a7cf53c-d585-442b-b212-b5aaecff4ac6.pdf</t>
  </si>
  <si>
    <t>https://d18rn0p25nwr6d.cloudfront.net/CIK-0001038357/f5aab13b-7a1e-4ad4-8a56-6e8d5dd0af95.pdf</t>
  </si>
  <si>
    <t>https://d18rn0p25nwr6d.cloudfront.net/CIK-0001038357/5d9d2b01-da29-4581-902c-74e3f5cce04b.pdf</t>
  </si>
  <si>
    <t>https://d18rn0p25nwr6d.cloudfront.net/CIK-0001038357/417990a9-1e3f-4c6d-b7b4-68dfbc1aa4a8.pdf</t>
  </si>
  <si>
    <t>https://d18rn0p25nwr6d.cloudfront.net/CIK-0001038357/21edea68-da12-4f65-ae6c-f1ca4a8353c3.pdf</t>
  </si>
  <si>
    <t>https://d18rn0p25nwr6d.cloudfront.net/CIK-0001038357/5ce2b754-3328-4ac2-89b3-a5d662676e73.pdf</t>
  </si>
  <si>
    <t>https://d18rn0p25nwr6d.cloudfront.net/CIK-0001038357/d3c6eab9-b462-4f07-8f38-c0b11e3a7714.pdf</t>
  </si>
  <si>
    <t>https://d18rn0p25nwr6d.cloudfront.net/CIK-0001038357/fb196788-0658-4930-a6d4-8537ff785aaa.pdf</t>
  </si>
  <si>
    <t>https://d18rn0p25nwr6d.cloudfront.net/CIK-0001038357/76d16f0b-c878-412f-aa15-03f7de3948d0.pdf</t>
  </si>
  <si>
    <t xml:space="preserve">Range Resources </t>
  </si>
  <si>
    <t>https://ir.rangeresources.com/static-files/55ab74da-9202-45f1-b598-a37611c64062</t>
  </si>
  <si>
    <t>https://ir.rangeresources.com/static-files/372d03b9-5c75-4d23-a040-eb33fbcbb13d</t>
  </si>
  <si>
    <t>https://ir.rangeresources.com/static-files/10c9ec4a-4489-4f07-b739-36aa5f442830</t>
  </si>
  <si>
    <t>https://ir.rangeresources.com/static-files/dadf1da3-d339-4306-b6ef-87a299b08184</t>
  </si>
  <si>
    <t>https://ir.rangeresources.com/static-files/6076d895-0c5f-40db-be1a-708e1d51f71a</t>
  </si>
  <si>
    <t>https://ir.rangeresources.com/static-files/7c69b5fa-e285-482d-932e-30c16c48015d</t>
  </si>
  <si>
    <t>https://ir.rangeresources.com/static-files/235fadc4-6b3a-49b1-a21e-ac9082e0ac99</t>
  </si>
  <si>
    <t>https://ir.rangeresources.com/static-files/b9a1b69d-12df-4324-b0e0-6a79e89230c2</t>
  </si>
  <si>
    <t>https://ir.rangeresources.com/static-files/8e23beda-ff17-4380-a7b3-4d4be93a13c8</t>
  </si>
  <si>
    <t>https://ir.rangeresources.com/static-files/aeb8349a-3a5c-4104-80bd-738f1ba5bb9f</t>
  </si>
  <si>
    <t>https://ir.rangeresources.com/static-files/7d80ad50-3795-4f8a-be3a-59d41c10ffdb</t>
  </si>
  <si>
    <t>Seneca Resources Corporation</t>
  </si>
  <si>
    <t>https://s1.q4cdn.com/329525430/files/doc_financials/annual/2012/NFG_SAR12_Final.pdf</t>
  </si>
  <si>
    <t>https://s1.q4cdn.com/329525430/files/doc_financials/annual/2013/NFG_SAR_13_Final.pdf</t>
  </si>
  <si>
    <t>https://s1.q4cdn.com/329525430/files/doc_financials/annual/2014/NFG_AR14_Single_Page_View-(FINAL).pdf</t>
  </si>
  <si>
    <t>https://s1.q4cdn.com/329525430/files/doc_financials/annual/2015/NFG_AR15_Web.pdf</t>
  </si>
  <si>
    <t>https://s1.q4cdn.com/329525430/files/doc_financials/annual/2016/2016-form-10k.pdf</t>
  </si>
  <si>
    <t>https://s1.q4cdn.com/329525430/files/doc_financials/annual/2017/2017-form-10k.pdf</t>
  </si>
  <si>
    <t>https://s1.q4cdn.com/329525430/files/doc_financials/annual/2018/2018-form-10k.pdf</t>
  </si>
  <si>
    <t>https://s1.q4cdn.com/329525430/files/doc_financials/annual/2019/2019-form-10k.pdf</t>
  </si>
  <si>
    <t>https://s1.q4cdn.com/329525430/files/doc_financials/annual/2020/NFG-9.30.2020-10K-FINAL-11.20.20-_web.pdf</t>
  </si>
  <si>
    <t>https://s1.q4cdn.com/329525430/files/doc_financials/2021/ar/NFG-9.pdf</t>
  </si>
  <si>
    <t>SM Energy Company</t>
  </si>
  <si>
    <t>https://d18rn0p25nwr6d.cloudfront.net/CIK-0000893538/d792908d-1309-460d-bd8a-709a2d5da3a0.pdf</t>
  </si>
  <si>
    <t>https://d18rn0p25nwr6d.cloudfront.net/CIK-0000893538/cec87daa-d170-42e4-bac5-9d417e7371b3.pdf</t>
  </si>
  <si>
    <t>https://d18rn0p25nwr6d.cloudfront.net/CIK-0000893538/17e0b080-bcc1-4d45-b243-41945b71a672.pdf</t>
  </si>
  <si>
    <t>https://d18rn0p25nwr6d.cloudfront.net/CIK-0000893538/25568b95-2798-4061-adaa-1e4cc972c7ab.pdf</t>
  </si>
  <si>
    <t>https://d18rn0p25nwr6d.cloudfront.net/CIK-0000893538/2bbd6134-12bc-4c5a-8107-2ad8111c03cd.pdf</t>
  </si>
  <si>
    <t>https://d18rn0p25nwr6d.cloudfront.net/CIK-0000893538/d1b97aec-9bc6-42fd-9b58-dae97ad45254.pdf</t>
  </si>
  <si>
    <t>https://d18rn0p25nwr6d.cloudfront.net/CIK-0000893538/bf3f62ae-bdd1-4740-845e-89099d96365d.pdf</t>
  </si>
  <si>
    <t>https://d18rn0p25nwr6d.cloudfront.net/CIK-0000893538/cfc915b2-3093-4aac-a3cc-f88f62da45c7.pdf</t>
  </si>
  <si>
    <t>https://d18rn0p25nwr6d.cloudfront.net/CIK-0000893538/e2d9502f-2264-4328-924f-91d624bc26be.pdf</t>
  </si>
  <si>
    <t>https://d18rn0p25nwr6d.cloudfront.net/CIK-0000893538/fcdd2675-5928-4e0a-9dd2-42c25f88e276.pdf</t>
  </si>
  <si>
    <t>https://d18rn0p25nwr6d.cloudfront.net/CIK-0000893538/3d982616-62d1-4ad2-9df3-6b2daf152348.pdf</t>
  </si>
  <si>
    <t>Southwestern Energy Company</t>
  </si>
  <si>
    <t>https://d18rn0p25nwr6d.cloudfront.net/CIK-0000007332/05b7590f-9062-47c8-bbe4-272983f84a12.pdf</t>
  </si>
  <si>
    <t>https://d18rn0p25nwr6d.cloudfront.net/CIK-0000007332/a6e3447a-b10a-49c4-959d-b199662f7073.pdf</t>
  </si>
  <si>
    <t>https://d18rn0p25nwr6d.cloudfront.net/CIK-0000007332/9b128d41-9479-4790-bb1e-3658b01f0400.pdf</t>
  </si>
  <si>
    <t>https://d18rn0p25nwr6d.cloudfront.net/CIK-0000007332/01c38376-35eb-4837-9651-ee5349e6a360.pdf</t>
  </si>
  <si>
    <t>https://d18rn0p25nwr6d.cloudfront.net/CIK-0000007332/84f3c750-74e4-4d29-be1f-f51ba36514f9.pdf</t>
  </si>
  <si>
    <t>https://d18rn0p25nwr6d.cloudfront.net/CIK-0000007332/c03ca5a7-6e90-482b-a405-4189752a3d1d.pdf</t>
  </si>
  <si>
    <t>https://d18rn0p25nwr6d.cloudfront.net/CIK-0000007332/ccf294af-a7bd-43d4-89ae-7ab1977b121d.pdf</t>
  </si>
  <si>
    <t>https://d18rn0p25nwr6d.cloudfront.net/CIK-0000007332/0b44f0fb-963e-4173-a455-4eafbb62321f.pdf</t>
  </si>
  <si>
    <t>https://d18rn0p25nwr6d.cloudfront.net/CIK-0000007332/7bd11273-7b57-4588-a2af-6405e79d75d8.pdf</t>
  </si>
  <si>
    <t>https://d18rn0p25nwr6d.cloudfront.net/CIK-0000007332/6b77232f-bf98-4fb4-9a46-122efe859da5.pdf</t>
  </si>
  <si>
    <t>https://d18rn0p25nwr6d.cloudfront.net/CIK-0000007332/405060e2-ee2c-4914-8b2e-6f8cce84217d.pdf</t>
  </si>
  <si>
    <t>Vital Energy</t>
  </si>
  <si>
    <t>https://investor.vitalenergy.com/static-files/bef28435-0bcb-4b80-b0e0-98131f3402b6</t>
  </si>
  <si>
    <t>https://investor.vitalenergy.com/static-files/5d3fdb1e-31b2-4a63-a38c-6d27567fa81f</t>
  </si>
  <si>
    <t>https://investor.vitalenergy.com/static-files/11b89a88-a20a-408c-b21a-f4193400fc9d</t>
  </si>
  <si>
    <t>https://investor.vitalenergy.com/static-files/d6971bac-4c56-4bff-a076-9b83c9146031</t>
  </si>
  <si>
    <t>https://investor.vitalenergy.com/static-files/3e91355b-d1bc-4fa4-9bf5-e8f4675c08d3</t>
  </si>
  <si>
    <t>https://investor.vitalenergy.com/static-files/bff1cc4a-15d3-48b6-85e6-01897ce05581</t>
  </si>
  <si>
    <t>https://investor.vitalenergy.com/static-files/d91a8707-0ef7-4408-9ae1-9ee898189c77</t>
  </si>
  <si>
    <t>https://investor.vitalenergy.com/static-files/407c5d08-ea47-4007-99fe-decee3061137</t>
  </si>
  <si>
    <t>https://investor.vitalenergy.com/static-files/ce6e575d-8d88-4c74-b6fc-f134c87b61a2</t>
  </si>
  <si>
    <t>https://investor.vitalenergy.com/static-files/342d1756-a1ef-4362-81bd-620e822ae154</t>
  </si>
  <si>
    <t>https://investor.vitalenergy.com/static-files/bc611645-9f98-4ebc-9fc6-6356a894c8ad</t>
  </si>
  <si>
    <t>XTO Energy, Inc.</t>
  </si>
  <si>
    <t>https://ir.exxonmobil.com/static-files/c02d4985-3d7f-48ee-80d1-0ff2c70973fb</t>
  </si>
  <si>
    <t>https://ir.exxonmobil.com/static-files/880afd79-4748-438c-9820-6d6b3da45d95</t>
  </si>
  <si>
    <t>https://ir.exxonmobil.com/static-files/e61639fe-5c2e-499b-b687-1d1012b0acc4</t>
  </si>
  <si>
    <t>https://ir.exxonmobil.com/static-files/00faa1a3-d73f-4c16-abd9-06a7d364d339</t>
  </si>
  <si>
    <t>https://ir.exxonmobil.com/static-files/78ae63dd-ed2b-48dc-8054-a9ab002b4215</t>
  </si>
  <si>
    <t>https://ir.exxonmobil.com/static-files/b2a6fb46-2663-4347-9b77-81f06362f6f0</t>
  </si>
  <si>
    <t>https://ir.exxonmobil.com/static-files/9cb52e4a-f298-4a9b-a3b1-a957bf806cc0</t>
  </si>
  <si>
    <t>https://ir.exxonmobil.com/static-files/eaa1748f-2390-4243-b63a-3e6090eba64d</t>
  </si>
  <si>
    <t>https://ir.exxonmobil.com/static-files/29f8cfbf-6158-49b2-b2da-53a617525b72</t>
  </si>
  <si>
    <t>https://ir.exxonmobil.com/static-files/43e2844e-a446-4193-8e3f-7a8e8ad9e224</t>
  </si>
  <si>
    <t>https://ir.exxonmobil.com/static-files/7ac1ca73-14ce-4c13-b34d-267d59a2565f</t>
  </si>
  <si>
    <t>Operating Expenses</t>
  </si>
  <si>
    <t>Free Cash Flow(K-L)</t>
  </si>
  <si>
    <t>CF-Investing N</t>
  </si>
  <si>
    <t>Reference Exchange</t>
  </si>
  <si>
    <t>NASDAQ</t>
  </si>
  <si>
    <t xml:space="preserve"> ,CURRENT_TIMESTAMP, N'Mohan Hanumantha',CURRENT_TIMESTAMP, N'Mohan Hanumantha'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</si>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</sst>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Times"/>
      <family val="1"/>
    </font>
    <font>
      <sz val="12"/>
      <color rgb="FF000000"/>
      <name val="Times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Times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3" fontId="0" fillId="0" borderId="0" xfId="0" applyNumberFormat="1"/>
    <xf numFmtId="164" fontId="4" fillId="0" borderId="0" xfId="1" applyNumberFormat="1" applyFont="1"/>
    <xf numFmtId="2" fontId="4" fillId="0" borderId="0" xfId="1" applyNumberFormat="1" applyFont="1"/>
    <xf numFmtId="1" fontId="4" fillId="0" borderId="0" xfId="1" applyNumberFormat="1" applyFont="1"/>
    <xf numFmtId="165" fontId="4" fillId="0" borderId="0" xfId="1" applyNumberFormat="1" applyFont="1"/>
    <xf numFmtId="3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1" fillId="0" borderId="0" xfId="2"/>
    <xf numFmtId="1" fontId="12" fillId="0" borderId="0" xfId="1" applyNumberFormat="1" applyFont="1"/>
    <xf numFmtId="3" fontId="13" fillId="0" borderId="0" xfId="0" applyNumberFormat="1" applyFont="1"/>
    <xf numFmtId="164" fontId="12" fillId="0" borderId="0" xfId="1" applyNumberFormat="1" applyFont="1"/>
    <xf numFmtId="3" fontId="10" fillId="0" borderId="0" xfId="0" applyNumberFormat="1" applyFont="1"/>
    <xf numFmtId="0" fontId="14" fillId="0" borderId="0" xfId="0" applyFont="1"/>
    <xf numFmtId="2" fontId="12" fillId="0" borderId="0" xfId="1" applyNumberFormat="1" applyFont="1"/>
    <xf numFmtId="3" fontId="2" fillId="0" borderId="0" xfId="0" applyNumberFormat="1" applyFont="1"/>
    <xf numFmtId="164" fontId="2" fillId="0" borderId="0" xfId="1" applyNumberFormat="1" applyFont="1"/>
    <xf numFmtId="0" fontId="10" fillId="0" borderId="0" xfId="0" applyFont="1"/>
    <xf numFmtId="3" fontId="15" fillId="0" borderId="0" xfId="0" applyNumberFormat="1" applyFont="1"/>
    <xf numFmtId="0" fontId="15" fillId="0" borderId="0" xfId="0" applyFont="1"/>
    <xf numFmtId="10" fontId="3" fillId="0" borderId="0" xfId="3" applyNumberFormat="1" applyFont="1" applyAlignment="1">
      <alignment horizontal="left" vertical="center" readingOrder="1"/>
    </xf>
    <xf numFmtId="10" fontId="4" fillId="0" borderId="0" xfId="3" applyNumberFormat="1" applyFont="1"/>
    <xf numFmtId="10" fontId="12" fillId="0" borderId="0" xfId="3" applyNumberFormat="1" applyFont="1"/>
    <xf numFmtId="10" fontId="0" fillId="0" borderId="0" xfId="3" applyNumberFormat="1" applyFont="1"/>
    <xf numFmtId="1" fontId="4" fillId="2" borderId="0" xfId="1" applyNumberFormat="1" applyFont="1" applyFill="1"/>
    <xf numFmtId="3" fontId="6" fillId="2" borderId="0" xfId="0" applyNumberFormat="1" applyFont="1" applyFill="1"/>
    <xf numFmtId="164" fontId="4" fillId="2" borderId="0" xfId="1" applyNumberFormat="1" applyFont="1" applyFill="1"/>
    <xf numFmtId="3" fontId="9" fillId="2" borderId="0" xfId="0" applyNumberFormat="1" applyFont="1" applyFill="1"/>
    <xf numFmtId="3" fontId="0" fillId="2" borderId="0" xfId="0" applyNumberFormat="1" applyFill="1"/>
    <xf numFmtId="0" fontId="9" fillId="2" borderId="0" xfId="0" applyFont="1" applyFill="1"/>
    <xf numFmtId="2" fontId="4" fillId="2" borderId="0" xfId="1" applyNumberFormat="1" applyFont="1" applyFill="1"/>
    <xf numFmtId="10" fontId="4" fillId="2" borderId="0" xfId="3" applyNumberFormat="1" applyFont="1" applyFill="1"/>
    <xf numFmtId="3" fontId="16" fillId="0" borderId="0" xfId="0" applyNumberFormat="1" applyFont="1" applyAlignment="1">
      <alignment horizontal="center"/>
    </xf>
    <xf numFmtId="9" fontId="0" fillId="0" borderId="0" xfId="3" applyFo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umantha, Mohan" id="{B4DC2BF8-095B-FC4A-94DB-29AA4297FD17}" userId="S::mohan.hanumantha@yale.edu::e8fb45c4-dce8-400f-8805-eda7f85e82a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3" dT="2023-11-10T23:56:47.47" personId="{B4DC2BF8-095B-FC4A-94DB-29AA4297FD17}" id="{263948EF-63F0-774F-920B-C05F41ACCCDF}">
    <text>Currency Changed from CAD$ to USD$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D770-5C7A-3542-8829-DAD182C9C87D}">
  <dimension ref="A1:W224"/>
  <sheetViews>
    <sheetView zoomScale="120" zoomScaleNormal="120" workbookViewId="0">
      <pane xSplit="2" topLeftCell="C1" activePane="topRight" state="frozen"/>
      <selection pane="topRight" activeCell="F2" activeCellId="1" sqref="B2:B11 F2:F11"/>
    </sheetView>
  </sheetViews>
  <sheetFormatPr baseColWidth="10" defaultRowHeight="16"/>
  <cols>
    <col min="1" max="1" width="31.33203125" style="1" customWidth="1"/>
    <col min="2" max="2" width="10.6640625" style="1" customWidth="1"/>
    <col min="3" max="3" width="14" style="1" bestFit="1" customWidth="1"/>
    <col min="4" max="4" width="15.5" style="1" customWidth="1"/>
    <col min="5" max="5" width="14" style="1" bestFit="1" customWidth="1"/>
    <col min="6" max="6" width="12.1640625" style="1" customWidth="1"/>
    <col min="7" max="7" width="29.83203125" style="1" customWidth="1"/>
    <col min="8" max="8" width="11.1640625" customWidth="1"/>
    <col min="9" max="9" width="15.5" customWidth="1"/>
    <col min="10" max="10" width="11.6640625" customWidth="1"/>
    <col min="11" max="11" width="15.5" customWidth="1"/>
    <col min="12" max="12" width="0.33203125" customWidth="1"/>
    <col min="13" max="13" width="18" customWidth="1"/>
    <col min="14" max="14" width="20.6640625" customWidth="1"/>
    <col min="15" max="15" width="25.1640625" customWidth="1"/>
    <col min="16" max="16" width="1" hidden="1" customWidth="1"/>
    <col min="17" max="17" width="13.83203125" customWidth="1"/>
    <col min="18" max="18" width="14.1640625" bestFit="1" customWidth="1"/>
    <col min="19" max="19" width="18.83203125" style="29" bestFit="1" customWidth="1"/>
    <col min="20" max="20" width="18.83203125" style="29" customWidth="1"/>
    <col min="21" max="21" width="14.1640625" bestFit="1" customWidth="1"/>
    <col min="22" max="22" width="13.5" customWidth="1"/>
  </cols>
  <sheetData>
    <row r="1" spans="1:22">
      <c r="A1" s="1" t="s">
        <v>3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15</v>
      </c>
      <c r="G1" s="1" t="s">
        <v>235</v>
      </c>
      <c r="H1" s="1" t="s">
        <v>16</v>
      </c>
      <c r="I1" s="1" t="s">
        <v>8</v>
      </c>
      <c r="J1" s="1" t="s">
        <v>4</v>
      </c>
      <c r="K1" s="1" t="s">
        <v>14</v>
      </c>
      <c r="L1" s="1" t="s">
        <v>13</v>
      </c>
      <c r="M1" s="1" t="s">
        <v>237</v>
      </c>
      <c r="N1" s="1" t="s">
        <v>236</v>
      </c>
      <c r="O1" s="1" t="s">
        <v>12</v>
      </c>
      <c r="P1" s="2" t="s">
        <v>236</v>
      </c>
      <c r="Q1" s="2" t="s">
        <v>0</v>
      </c>
      <c r="R1" s="2" t="s">
        <v>17</v>
      </c>
      <c r="S1" s="26" t="s">
        <v>9</v>
      </c>
      <c r="T1" s="26" t="s">
        <v>238</v>
      </c>
      <c r="U1" s="2" t="s">
        <v>10</v>
      </c>
      <c r="V1" s="2" t="s">
        <v>1</v>
      </c>
    </row>
    <row r="2" spans="1:22" s="6" customFormat="1">
      <c r="A2" s="6" t="s">
        <v>11</v>
      </c>
      <c r="B2" s="6">
        <v>2013</v>
      </c>
      <c r="C2" s="4">
        <v>6613581</v>
      </c>
      <c r="D2" s="4">
        <v>3014921</v>
      </c>
      <c r="E2" s="4">
        <f>C2-D2</f>
        <v>3598660</v>
      </c>
      <c r="F2" s="8">
        <v>1313134</v>
      </c>
      <c r="G2" s="8">
        <v>971927</v>
      </c>
      <c r="H2" s="3">
        <f t="shared" ref="H2:H3" si="0">F2-G2</f>
        <v>341207</v>
      </c>
      <c r="I2" s="4">
        <v>-18930</v>
      </c>
      <c r="J2" s="7">
        <v>-0.09</v>
      </c>
      <c r="K2" s="4">
        <v>534707</v>
      </c>
      <c r="L2" s="4">
        <v>2673592</v>
      </c>
      <c r="M2" s="6">
        <v>-2673592</v>
      </c>
      <c r="N2" s="6">
        <f>K2+M2</f>
        <v>-2138885</v>
      </c>
      <c r="O2" s="4">
        <v>2137383</v>
      </c>
      <c r="P2" s="4">
        <f t="shared" ref="P2:P65" si="1">K2-L2</f>
        <v>-2138885</v>
      </c>
      <c r="Q2" s="5">
        <v>63.15</v>
      </c>
      <c r="R2" s="6">
        <f t="shared" ref="R2:R65" si="2">Q2/J2</f>
        <v>-701.66666666666663</v>
      </c>
      <c r="S2" s="27">
        <f t="shared" ref="S2:S22" si="3">I2/C2</f>
        <v>-2.8622920018670671E-3</v>
      </c>
      <c r="T2" s="27" t="s">
        <v>239</v>
      </c>
      <c r="U2" s="4"/>
      <c r="V2" s="4"/>
    </row>
    <row r="3" spans="1:22" s="6" customFormat="1">
      <c r="A3" s="6" t="s">
        <v>11</v>
      </c>
      <c r="B3" s="6">
        <v>2014</v>
      </c>
      <c r="C3" s="4">
        <v>11573495</v>
      </c>
      <c r="D3" s="4">
        <v>6099665</v>
      </c>
      <c r="E3" s="4">
        <f>C3-D3</f>
        <v>5473830</v>
      </c>
      <c r="F3" s="8">
        <v>2720632</v>
      </c>
      <c r="G3" s="8">
        <v>1420898</v>
      </c>
      <c r="H3" s="3">
        <f t="shared" si="0"/>
        <v>1299734</v>
      </c>
      <c r="I3" s="4">
        <v>673587</v>
      </c>
      <c r="J3" s="7">
        <v>2.57</v>
      </c>
      <c r="K3" s="4">
        <v>998121</v>
      </c>
      <c r="L3" s="4">
        <v>4089650</v>
      </c>
      <c r="M3" s="6">
        <v>-4089650</v>
      </c>
      <c r="N3" s="6">
        <f t="shared" ref="N3:N66" si="4">K3+M3</f>
        <v>-3091529</v>
      </c>
      <c r="O3" s="4">
        <v>3320021</v>
      </c>
      <c r="P3" s="4">
        <f t="shared" si="1"/>
        <v>-3091529</v>
      </c>
      <c r="Q3" s="5">
        <v>40.6</v>
      </c>
      <c r="R3" s="6">
        <f t="shared" si="2"/>
        <v>15.797665369649806</v>
      </c>
      <c r="S3" s="27">
        <f t="shared" si="3"/>
        <v>5.8200828703861715E-2</v>
      </c>
      <c r="T3" s="27" t="s">
        <v>239</v>
      </c>
      <c r="U3" s="4"/>
      <c r="V3" s="4"/>
    </row>
    <row r="4" spans="1:22" s="6" customFormat="1">
      <c r="A4" s="6" t="s">
        <v>11</v>
      </c>
      <c r="B4" s="6">
        <v>2015</v>
      </c>
      <c r="C4" s="4">
        <v>14155224</v>
      </c>
      <c r="D4" s="4">
        <v>6868546</v>
      </c>
      <c r="E4" s="4">
        <f>C4-D4</f>
        <v>7286678</v>
      </c>
      <c r="F4" s="8">
        <v>3954858</v>
      </c>
      <c r="G4" s="8">
        <v>2164572</v>
      </c>
      <c r="H4" s="3">
        <f>F4-G4</f>
        <v>1790286</v>
      </c>
      <c r="I4" s="4">
        <v>941364</v>
      </c>
      <c r="J4" s="7">
        <v>3.43</v>
      </c>
      <c r="K4" s="4">
        <v>1006381</v>
      </c>
      <c r="L4" s="4">
        <v>2298159</v>
      </c>
      <c r="M4" s="6">
        <v>-2298159</v>
      </c>
      <c r="N4" s="6">
        <f t="shared" si="4"/>
        <v>-1291778</v>
      </c>
      <c r="O4" s="4">
        <v>1069272</v>
      </c>
      <c r="P4" s="4">
        <f t="shared" si="1"/>
        <v>-1291778</v>
      </c>
      <c r="Q4" s="5">
        <v>21.75</v>
      </c>
      <c r="R4" s="6">
        <f t="shared" si="2"/>
        <v>6.3411078717201166</v>
      </c>
      <c r="S4" s="27">
        <f t="shared" si="3"/>
        <v>6.6502939126925856E-2</v>
      </c>
      <c r="T4" s="27" t="s">
        <v>239</v>
      </c>
      <c r="U4" s="4"/>
      <c r="V4" s="4"/>
    </row>
    <row r="5" spans="1:22" s="6" customFormat="1">
      <c r="A5" s="6" t="s">
        <v>11</v>
      </c>
      <c r="B5" s="6">
        <v>2016</v>
      </c>
      <c r="C5" s="4">
        <v>14255550</v>
      </c>
      <c r="D5" s="4">
        <v>6526972</v>
      </c>
      <c r="E5" s="4">
        <f>C5-D5</f>
        <v>7728578</v>
      </c>
      <c r="F5" s="8">
        <v>1744525</v>
      </c>
      <c r="G5" s="8">
        <v>2720326</v>
      </c>
      <c r="H5" s="3">
        <f>F5-G5</f>
        <v>-975801</v>
      </c>
      <c r="I5" s="4">
        <v>-848816</v>
      </c>
      <c r="J5" s="7">
        <v>-2.88</v>
      </c>
      <c r="K5" s="4">
        <v>1241256</v>
      </c>
      <c r="L5" s="4">
        <v>2395138</v>
      </c>
      <c r="M5" s="6">
        <v>-2395138</v>
      </c>
      <c r="N5" s="6">
        <f t="shared" si="4"/>
        <v>-1153882</v>
      </c>
      <c r="O5" s="4">
        <v>1162019</v>
      </c>
      <c r="P5" s="4">
        <f t="shared" si="1"/>
        <v>-1153882</v>
      </c>
      <c r="Q5" s="5">
        <v>23.89</v>
      </c>
      <c r="R5" s="6">
        <f t="shared" si="2"/>
        <v>-8.2951388888888893</v>
      </c>
      <c r="S5" s="27">
        <f t="shared" si="3"/>
        <v>-5.9542844716619144E-2</v>
      </c>
      <c r="T5" s="27" t="s">
        <v>239</v>
      </c>
      <c r="U5" s="4"/>
      <c r="V5" s="4"/>
    </row>
    <row r="6" spans="1:22" s="6" customFormat="1">
      <c r="A6" s="6" t="s">
        <v>11</v>
      </c>
      <c r="B6" s="6">
        <v>2017</v>
      </c>
      <c r="C6" s="4">
        <v>15261490</v>
      </c>
      <c r="D6" s="4">
        <v>6385354</v>
      </c>
      <c r="E6" s="4">
        <f t="shared" ref="E6:E69" si="5">C6-D6</f>
        <v>8876136</v>
      </c>
      <c r="F6" s="8">
        <v>3655574</v>
      </c>
      <c r="G6" s="8">
        <v>2915481</v>
      </c>
      <c r="H6" s="3">
        <f>F6-G6</f>
        <v>740093</v>
      </c>
      <c r="I6" s="4">
        <v>615070</v>
      </c>
      <c r="J6" s="7">
        <v>1.95</v>
      </c>
      <c r="K6" s="4">
        <v>2006291</v>
      </c>
      <c r="L6" s="4">
        <v>2461630</v>
      </c>
      <c r="M6" s="6">
        <v>-2461630</v>
      </c>
      <c r="N6" s="6">
        <f t="shared" si="4"/>
        <v>-455339</v>
      </c>
      <c r="O6" s="4">
        <v>452170</v>
      </c>
      <c r="P6" s="4">
        <f t="shared" si="1"/>
        <v>-455339</v>
      </c>
      <c r="Q6" s="5">
        <v>19.239999999999998</v>
      </c>
      <c r="R6" s="6">
        <f t="shared" si="2"/>
        <v>9.8666666666666654</v>
      </c>
      <c r="S6" s="27">
        <f t="shared" si="3"/>
        <v>4.03020937012048E-2</v>
      </c>
      <c r="T6" s="27" t="s">
        <v>239</v>
      </c>
      <c r="U6" s="4"/>
      <c r="V6" s="4"/>
    </row>
    <row r="7" spans="1:22" s="6" customFormat="1">
      <c r="A7" s="6" t="s">
        <v>11</v>
      </c>
      <c r="B7" s="6">
        <v>2018</v>
      </c>
      <c r="C7" s="4">
        <v>15519464</v>
      </c>
      <c r="D7" s="4">
        <v>7031987</v>
      </c>
      <c r="E7" s="4">
        <f t="shared" si="5"/>
        <v>8487477</v>
      </c>
      <c r="F7" s="8">
        <v>4139626</v>
      </c>
      <c r="G7" s="8">
        <v>4067721</v>
      </c>
      <c r="H7" s="3">
        <f>F7-G7</f>
        <v>71905</v>
      </c>
      <c r="I7" s="4">
        <v>-397517</v>
      </c>
      <c r="J7" s="7">
        <v>-1.26</v>
      </c>
      <c r="K7" s="4">
        <v>2081987</v>
      </c>
      <c r="L7" s="4">
        <v>2350724</v>
      </c>
      <c r="M7" s="6">
        <v>-2350724</v>
      </c>
      <c r="N7" s="6">
        <f t="shared" si="4"/>
        <v>-268737</v>
      </c>
      <c r="O7" s="4">
        <v>240296</v>
      </c>
      <c r="P7" s="4">
        <f t="shared" si="1"/>
        <v>-268737</v>
      </c>
      <c r="Q7" s="5">
        <v>9.1999999999999993</v>
      </c>
      <c r="R7" s="6">
        <f t="shared" si="2"/>
        <v>-7.3015873015873014</v>
      </c>
      <c r="S7" s="27">
        <f t="shared" si="3"/>
        <v>-2.5614093373327842E-2</v>
      </c>
      <c r="T7" s="27" t="s">
        <v>239</v>
      </c>
      <c r="U7" s="4"/>
      <c r="V7" s="4"/>
    </row>
    <row r="8" spans="1:22" s="6" customFormat="1">
      <c r="A8" s="6" t="s">
        <v>11</v>
      </c>
      <c r="B8" s="6">
        <v>2019</v>
      </c>
      <c r="C8" s="4">
        <v>15197569</v>
      </c>
      <c r="D8" s="4">
        <v>8226826</v>
      </c>
      <c r="E8" s="4">
        <f t="shared" si="5"/>
        <v>6970743</v>
      </c>
      <c r="F8" s="8">
        <v>4408690</v>
      </c>
      <c r="G8" s="8">
        <v>5395735</v>
      </c>
      <c r="H8" s="3">
        <f t="shared" ref="H8:H71" si="6">F8-G8</f>
        <v>-987045</v>
      </c>
      <c r="I8" s="4">
        <v>-340129</v>
      </c>
      <c r="J8" s="7">
        <v>-1.1100000000000001</v>
      </c>
      <c r="K8" s="4">
        <v>1103458</v>
      </c>
      <c r="L8" s="4">
        <v>1041490</v>
      </c>
      <c r="M8" s="6">
        <v>-1041490</v>
      </c>
      <c r="N8" s="6">
        <f t="shared" si="4"/>
        <v>61968</v>
      </c>
      <c r="O8" s="4">
        <v>557564</v>
      </c>
      <c r="P8" s="4">
        <f t="shared" si="1"/>
        <v>61968</v>
      </c>
      <c r="Q8" s="5">
        <v>2.88</v>
      </c>
      <c r="R8" s="6">
        <f t="shared" si="2"/>
        <v>-2.5945945945945943</v>
      </c>
      <c r="S8" s="27">
        <f t="shared" si="3"/>
        <v>-2.2380487300304411E-2</v>
      </c>
      <c r="T8" s="27" t="s">
        <v>239</v>
      </c>
      <c r="U8" s="4"/>
      <c r="V8" s="4"/>
    </row>
    <row r="9" spans="1:22" s="6" customFormat="1">
      <c r="A9" s="6" t="s">
        <v>11</v>
      </c>
      <c r="B9" s="6">
        <v>2020</v>
      </c>
      <c r="C9" s="4">
        <v>13150845</v>
      </c>
      <c r="D9" s="4">
        <v>7060574</v>
      </c>
      <c r="E9" s="4">
        <f t="shared" si="5"/>
        <v>6090271</v>
      </c>
      <c r="F9" s="8">
        <v>3491699</v>
      </c>
      <c r="G9" s="8">
        <v>4445146</v>
      </c>
      <c r="H9" s="3">
        <f t="shared" si="6"/>
        <v>-953447</v>
      </c>
      <c r="I9" s="4">
        <v>-1267897</v>
      </c>
      <c r="J9" s="7">
        <v>-4.6500000000000004</v>
      </c>
      <c r="K9" s="4">
        <v>735640</v>
      </c>
      <c r="L9" s="4">
        <v>530061</v>
      </c>
      <c r="M9" s="6">
        <v>-530061</v>
      </c>
      <c r="N9" s="6">
        <f t="shared" si="4"/>
        <v>205579</v>
      </c>
      <c r="O9" s="4">
        <v>-205579</v>
      </c>
      <c r="P9" s="4">
        <f t="shared" si="1"/>
        <v>205579</v>
      </c>
      <c r="Q9" s="5">
        <v>5.57</v>
      </c>
      <c r="R9" s="6">
        <f t="shared" si="2"/>
        <v>-1.1978494623655913</v>
      </c>
      <c r="S9" s="27">
        <f t="shared" si="3"/>
        <v>-9.6411827528953456E-2</v>
      </c>
      <c r="T9" s="27" t="s">
        <v>239</v>
      </c>
      <c r="U9" s="4"/>
      <c r="V9" s="4"/>
    </row>
    <row r="10" spans="1:22" s="6" customFormat="1">
      <c r="A10" s="6" t="s">
        <v>11</v>
      </c>
      <c r="B10" s="6">
        <v>2021</v>
      </c>
      <c r="C10" s="10">
        <v>13896528</v>
      </c>
      <c r="D10" s="10">
        <v>7830436</v>
      </c>
      <c r="E10" s="4">
        <f t="shared" si="5"/>
        <v>6066092</v>
      </c>
      <c r="F10" s="9">
        <v>4619432</v>
      </c>
      <c r="G10" s="9">
        <v>4595572</v>
      </c>
      <c r="H10" s="3">
        <f t="shared" si="6"/>
        <v>23860</v>
      </c>
      <c r="I10" s="4">
        <v>-186899</v>
      </c>
      <c r="J10" s="7">
        <v>-0.61</v>
      </c>
      <c r="K10" s="11">
        <v>1660116</v>
      </c>
      <c r="L10" s="11">
        <v>710784</v>
      </c>
      <c r="M10" s="6">
        <v>-710784</v>
      </c>
      <c r="N10" s="6">
        <f t="shared" si="4"/>
        <v>949332</v>
      </c>
      <c r="O10" s="4">
        <v>-949332</v>
      </c>
      <c r="P10" s="4">
        <f t="shared" si="1"/>
        <v>949332</v>
      </c>
      <c r="Q10" s="5">
        <v>17.329999999999998</v>
      </c>
      <c r="R10" s="6">
        <f t="shared" si="2"/>
        <v>-28.409836065573767</v>
      </c>
      <c r="S10" s="27">
        <f t="shared" si="3"/>
        <v>-1.3449330652951586E-2</v>
      </c>
      <c r="T10" s="27" t="s">
        <v>239</v>
      </c>
      <c r="U10" s="4"/>
      <c r="V10" s="4"/>
    </row>
    <row r="11" spans="1:22" s="6" customFormat="1" ht="17">
      <c r="A11" s="6" t="s">
        <v>11</v>
      </c>
      <c r="B11" s="6">
        <v>2022</v>
      </c>
      <c r="C11" s="9">
        <v>14118039</v>
      </c>
      <c r="D11" s="9">
        <v>7100885</v>
      </c>
      <c r="E11" s="4">
        <f t="shared" si="5"/>
        <v>7017154</v>
      </c>
      <c r="F11" s="12">
        <v>7138436</v>
      </c>
      <c r="G11" s="12">
        <v>4564531</v>
      </c>
      <c r="H11" s="3">
        <f t="shared" si="6"/>
        <v>2573905</v>
      </c>
      <c r="I11" s="12">
        <v>1898771</v>
      </c>
      <c r="J11" s="13">
        <v>6.18</v>
      </c>
      <c r="K11" s="9">
        <v>3051342</v>
      </c>
      <c r="L11" s="4">
        <v>943612</v>
      </c>
      <c r="M11" s="6">
        <v>-943612</v>
      </c>
      <c r="N11" s="6">
        <f t="shared" si="4"/>
        <v>2107730</v>
      </c>
      <c r="O11" s="4">
        <v>-2107730</v>
      </c>
      <c r="P11" s="4">
        <f t="shared" si="1"/>
        <v>2107730</v>
      </c>
      <c r="Q11" s="5">
        <v>29.95</v>
      </c>
      <c r="R11" s="6">
        <f t="shared" si="2"/>
        <v>4.8462783171521036</v>
      </c>
      <c r="S11" s="27">
        <f t="shared" si="3"/>
        <v>0.13449254531737728</v>
      </c>
      <c r="T11" s="27" t="s">
        <v>239</v>
      </c>
      <c r="U11" s="4"/>
      <c r="V11" s="4"/>
    </row>
    <row r="12" spans="1:22" s="6" customFormat="1" ht="17">
      <c r="A12" s="6" t="s">
        <v>18</v>
      </c>
      <c r="B12" s="6">
        <v>2012</v>
      </c>
      <c r="C12" s="9">
        <v>378173</v>
      </c>
      <c r="D12" s="9">
        <v>172202</v>
      </c>
      <c r="E12" s="4">
        <f t="shared" si="5"/>
        <v>205971</v>
      </c>
      <c r="F12" s="12">
        <v>110733</v>
      </c>
      <c r="G12" s="12">
        <v>100043</v>
      </c>
      <c r="H12" s="3">
        <f t="shared" si="6"/>
        <v>10690</v>
      </c>
      <c r="I12" s="12">
        <v>2747</v>
      </c>
      <c r="J12" s="13">
        <v>7.0000000000000007E-2</v>
      </c>
      <c r="K12" s="9">
        <v>51290</v>
      </c>
      <c r="L12" s="4">
        <v>93703</v>
      </c>
      <c r="M12" s="6">
        <v>-93703</v>
      </c>
      <c r="N12" s="6">
        <f t="shared" si="4"/>
        <v>-42413</v>
      </c>
      <c r="O12" s="4">
        <v>-243</v>
      </c>
      <c r="P12" s="4">
        <f t="shared" si="1"/>
        <v>-42413</v>
      </c>
      <c r="Q12" s="5">
        <v>62.9</v>
      </c>
      <c r="R12" s="6">
        <f t="shared" si="2"/>
        <v>898.57142857142844</v>
      </c>
      <c r="S12" s="27">
        <f t="shared" si="3"/>
        <v>7.2638712969989921E-3</v>
      </c>
      <c r="T12" s="27" t="s">
        <v>239</v>
      </c>
      <c r="U12" s="4"/>
      <c r="V12" s="4"/>
    </row>
    <row r="13" spans="1:22" s="6" customFormat="1" ht="17">
      <c r="A13" s="6" t="s">
        <v>18</v>
      </c>
      <c r="B13" s="6">
        <v>2013</v>
      </c>
      <c r="C13" s="9">
        <v>423953</v>
      </c>
      <c r="D13" s="9">
        <v>144859</v>
      </c>
      <c r="E13" s="4">
        <f t="shared" si="5"/>
        <v>279094</v>
      </c>
      <c r="F13" s="12">
        <v>102569</v>
      </c>
      <c r="G13" s="12">
        <v>91905</v>
      </c>
      <c r="H13" s="3">
        <f t="shared" si="6"/>
        <v>10664</v>
      </c>
      <c r="I13" s="12">
        <v>-323</v>
      </c>
      <c r="J13" s="13">
        <v>-0.01</v>
      </c>
      <c r="K13" s="9">
        <v>54329</v>
      </c>
      <c r="L13" s="4">
        <v>79804</v>
      </c>
      <c r="M13" s="6">
        <v>-79804</v>
      </c>
      <c r="N13" s="6">
        <f t="shared" si="4"/>
        <v>-25475</v>
      </c>
      <c r="O13" s="4">
        <v>27348</v>
      </c>
      <c r="P13" s="4">
        <f t="shared" si="1"/>
        <v>-25475</v>
      </c>
      <c r="Q13" s="5">
        <v>37</v>
      </c>
      <c r="R13" s="6">
        <f t="shared" si="2"/>
        <v>-3700</v>
      </c>
      <c r="S13" s="27">
        <f t="shared" si="3"/>
        <v>-7.6187690616648547E-4</v>
      </c>
      <c r="T13" s="27" t="s">
        <v>239</v>
      </c>
      <c r="U13" s="4"/>
      <c r="V13" s="4"/>
    </row>
    <row r="14" spans="1:22" s="6" customFormat="1" ht="17">
      <c r="A14" s="6" t="s">
        <v>18</v>
      </c>
      <c r="B14" s="6">
        <v>2014</v>
      </c>
      <c r="C14" s="9">
        <v>876770</v>
      </c>
      <c r="D14" s="9">
        <v>443035</v>
      </c>
      <c r="E14" s="4">
        <f t="shared" si="5"/>
        <v>433735</v>
      </c>
      <c r="F14" s="12">
        <v>151862</v>
      </c>
      <c r="G14" s="12">
        <v>113592</v>
      </c>
      <c r="H14" s="3">
        <f t="shared" si="6"/>
        <v>38270</v>
      </c>
      <c r="I14" s="12">
        <v>29871</v>
      </c>
      <c r="J14" s="13">
        <v>0.67</v>
      </c>
      <c r="K14" s="9">
        <v>94387</v>
      </c>
      <c r="L14" s="4">
        <v>452501</v>
      </c>
      <c r="M14" s="6">
        <v>-452501</v>
      </c>
      <c r="N14" s="6">
        <f t="shared" si="4"/>
        <v>-358114</v>
      </c>
      <c r="O14" s="4">
        <v>356070</v>
      </c>
      <c r="P14" s="4">
        <f t="shared" si="1"/>
        <v>-358114</v>
      </c>
      <c r="Q14" s="5">
        <v>83.7</v>
      </c>
      <c r="R14" s="6">
        <f t="shared" si="2"/>
        <v>124.92537313432835</v>
      </c>
      <c r="S14" s="27">
        <f t="shared" si="3"/>
        <v>3.4069368249369847E-2</v>
      </c>
      <c r="T14" s="27" t="s">
        <v>239</v>
      </c>
      <c r="U14" s="4"/>
      <c r="V14" s="4"/>
    </row>
    <row r="15" spans="1:22" s="6" customFormat="1" ht="17">
      <c r="A15" s="6" t="s">
        <v>18</v>
      </c>
      <c r="B15" s="6">
        <v>2015</v>
      </c>
      <c r="C15" s="9">
        <v>788594</v>
      </c>
      <c r="D15" s="9">
        <v>425836</v>
      </c>
      <c r="E15" s="4">
        <f t="shared" si="5"/>
        <v>362758</v>
      </c>
      <c r="F15" s="12">
        <v>137512</v>
      </c>
      <c r="G15" s="12">
        <v>346622</v>
      </c>
      <c r="H15" s="3">
        <f t="shared" si="6"/>
        <v>-209110</v>
      </c>
      <c r="I15" s="12">
        <v>-240139</v>
      </c>
      <c r="J15" s="13">
        <v>-3.77</v>
      </c>
      <c r="K15" s="9">
        <v>86852</v>
      </c>
      <c r="L15" s="4">
        <v>259160</v>
      </c>
      <c r="M15" s="6">
        <v>-259160</v>
      </c>
      <c r="N15" s="6">
        <f t="shared" si="4"/>
        <v>-172308</v>
      </c>
      <c r="O15" s="4">
        <v>172564</v>
      </c>
      <c r="P15" s="4">
        <f t="shared" si="1"/>
        <v>-172308</v>
      </c>
      <c r="Q15" s="5">
        <v>74.7</v>
      </c>
      <c r="R15" s="6">
        <f t="shared" si="2"/>
        <v>-19.814323607427056</v>
      </c>
      <c r="S15" s="27">
        <f t="shared" si="3"/>
        <v>-0.30451537800186151</v>
      </c>
      <c r="T15" s="27" t="s">
        <v>239</v>
      </c>
      <c r="U15" s="4"/>
      <c r="V15" s="4"/>
    </row>
    <row r="16" spans="1:22" s="6" customFormat="1" ht="17">
      <c r="A16" s="6" t="s">
        <v>18</v>
      </c>
      <c r="B16" s="6">
        <v>2016</v>
      </c>
      <c r="C16" s="9">
        <v>2267587</v>
      </c>
      <c r="D16" s="9">
        <v>534185</v>
      </c>
      <c r="E16" s="4">
        <f t="shared" si="5"/>
        <v>1733402</v>
      </c>
      <c r="F16" s="12">
        <v>200851</v>
      </c>
      <c r="G16" s="12">
        <v>248328</v>
      </c>
      <c r="H16" s="3">
        <f t="shared" si="6"/>
        <v>-47477</v>
      </c>
      <c r="I16" s="12">
        <v>-99108</v>
      </c>
      <c r="J16" s="13">
        <v>-0.78</v>
      </c>
      <c r="K16" s="9">
        <v>118567</v>
      </c>
      <c r="L16" s="4">
        <v>866287</v>
      </c>
      <c r="M16" s="6">
        <v>-866287</v>
      </c>
      <c r="N16" s="6">
        <f t="shared" si="4"/>
        <v>-747720</v>
      </c>
      <c r="O16" s="4">
        <v>1399489</v>
      </c>
      <c r="P16" s="4">
        <f t="shared" si="1"/>
        <v>-747720</v>
      </c>
      <c r="Q16" s="5">
        <v>88.5</v>
      </c>
      <c r="R16" s="6">
        <f t="shared" si="2"/>
        <v>-113.46153846153845</v>
      </c>
      <c r="S16" s="27">
        <f t="shared" si="3"/>
        <v>-4.3706371574717968E-2</v>
      </c>
      <c r="T16" s="27" t="s">
        <v>239</v>
      </c>
      <c r="U16" s="4"/>
      <c r="V16" s="4"/>
    </row>
    <row r="17" spans="1:22" s="6" customFormat="1" ht="17">
      <c r="A17" s="6" t="s">
        <v>18</v>
      </c>
      <c r="B17" s="6">
        <v>2017</v>
      </c>
      <c r="C17" s="9">
        <v>2693296</v>
      </c>
      <c r="D17" s="9">
        <v>837330</v>
      </c>
      <c r="E17" s="4">
        <f t="shared" si="5"/>
        <v>1855966</v>
      </c>
      <c r="F17" s="12">
        <v>366474</v>
      </c>
      <c r="G17" s="12">
        <v>225028</v>
      </c>
      <c r="H17" s="3">
        <f t="shared" si="6"/>
        <v>141446</v>
      </c>
      <c r="I17" s="12">
        <v>120424</v>
      </c>
      <c r="J17" s="13">
        <v>0.56000000000000005</v>
      </c>
      <c r="K17" s="9">
        <v>229891</v>
      </c>
      <c r="L17" s="4">
        <v>1072532</v>
      </c>
      <c r="M17" s="6">
        <v>-1072532</v>
      </c>
      <c r="N17" s="6">
        <f t="shared" si="4"/>
        <v>-842641</v>
      </c>
      <c r="O17" s="4">
        <v>217643</v>
      </c>
      <c r="P17" s="4">
        <f t="shared" si="1"/>
        <v>-842641</v>
      </c>
      <c r="Q17" s="5">
        <v>131.6</v>
      </c>
      <c r="R17" s="6">
        <f t="shared" si="2"/>
        <v>234.99999999999997</v>
      </c>
      <c r="S17" s="27">
        <f t="shared" si="3"/>
        <v>4.4712500965359919E-2</v>
      </c>
      <c r="T17" s="27" t="s">
        <v>239</v>
      </c>
      <c r="U17" s="4"/>
      <c r="V17" s="4"/>
    </row>
    <row r="18" spans="1:22" s="6" customFormat="1" ht="17">
      <c r="A18" s="6" t="s">
        <v>18</v>
      </c>
      <c r="B18" s="6">
        <v>2018</v>
      </c>
      <c r="C18" s="9">
        <v>3979173</v>
      </c>
      <c r="D18" s="9">
        <v>1533965</v>
      </c>
      <c r="E18" s="4">
        <f t="shared" si="5"/>
        <v>2445208</v>
      </c>
      <c r="F18" s="12">
        <v>587624</v>
      </c>
      <c r="G18" s="12">
        <v>328094</v>
      </c>
      <c r="H18" s="3">
        <f t="shared" si="6"/>
        <v>259530</v>
      </c>
      <c r="I18" s="12">
        <v>293065</v>
      </c>
      <c r="J18" s="13">
        <v>1.35</v>
      </c>
      <c r="K18" s="9">
        <v>467654</v>
      </c>
      <c r="L18" s="4">
        <v>1324057</v>
      </c>
      <c r="M18" s="6">
        <v>-1324057</v>
      </c>
      <c r="N18" s="6">
        <f t="shared" si="4"/>
        <v>-856403</v>
      </c>
      <c r="O18" s="4">
        <v>844459</v>
      </c>
      <c r="P18" s="4">
        <f t="shared" si="1"/>
        <v>-856403</v>
      </c>
      <c r="Q18" s="5">
        <v>132.4</v>
      </c>
      <c r="R18" s="6">
        <f t="shared" si="2"/>
        <v>98.074074074074076</v>
      </c>
      <c r="S18" s="27">
        <f t="shared" si="3"/>
        <v>7.3649725709337088E-2</v>
      </c>
      <c r="T18" s="27" t="s">
        <v>239</v>
      </c>
      <c r="U18" s="4"/>
      <c r="V18" s="4"/>
    </row>
    <row r="19" spans="1:22" s="6" customFormat="1" ht="17">
      <c r="A19" s="6" t="s">
        <v>18</v>
      </c>
      <c r="B19" s="6">
        <v>2019</v>
      </c>
      <c r="C19" s="9">
        <v>7194838</v>
      </c>
      <c r="D19" s="9">
        <v>3971530</v>
      </c>
      <c r="E19" s="4">
        <f t="shared" si="5"/>
        <v>3223308</v>
      </c>
      <c r="F19" s="12">
        <v>671572</v>
      </c>
      <c r="G19" s="12">
        <v>498914</v>
      </c>
      <c r="H19" s="3">
        <f t="shared" si="6"/>
        <v>172658</v>
      </c>
      <c r="I19" s="12">
        <v>55627</v>
      </c>
      <c r="J19" s="13">
        <v>0.24</v>
      </c>
      <c r="K19" s="9">
        <v>476316</v>
      </c>
      <c r="L19" s="4">
        <v>388389</v>
      </c>
      <c r="M19" s="6">
        <v>-388389</v>
      </c>
      <c r="N19" s="6">
        <f t="shared" si="4"/>
        <v>87927</v>
      </c>
      <c r="O19" s="4">
        <v>-90637</v>
      </c>
      <c r="P19" s="4">
        <f t="shared" si="1"/>
        <v>87927</v>
      </c>
      <c r="Q19" s="5">
        <v>75.5</v>
      </c>
      <c r="R19" s="6">
        <f t="shared" si="2"/>
        <v>314.58333333333337</v>
      </c>
      <c r="S19" s="27">
        <f t="shared" si="3"/>
        <v>7.7315152891559201E-3</v>
      </c>
      <c r="T19" s="27" t="s">
        <v>239</v>
      </c>
      <c r="U19" s="4"/>
      <c r="V19" s="4"/>
    </row>
    <row r="20" spans="1:22" s="6" customFormat="1" ht="17">
      <c r="A20" s="6" t="s">
        <v>18</v>
      </c>
      <c r="B20" s="6">
        <v>2020</v>
      </c>
      <c r="C20" s="9">
        <v>4362868</v>
      </c>
      <c r="D20" s="9">
        <v>3651866</v>
      </c>
      <c r="E20" s="4">
        <f t="shared" si="5"/>
        <v>711002</v>
      </c>
      <c r="F20" s="12">
        <v>1033147</v>
      </c>
      <c r="G20" s="12">
        <v>3489999</v>
      </c>
      <c r="H20" s="3">
        <f t="shared" si="6"/>
        <v>-2456852</v>
      </c>
      <c r="I20" s="12">
        <v>-2533621</v>
      </c>
      <c r="J20" s="13">
        <f>-(63.79)</f>
        <v>-63.79</v>
      </c>
      <c r="K20" s="9">
        <v>559775</v>
      </c>
      <c r="L20" s="4">
        <v>529883</v>
      </c>
      <c r="M20" s="6">
        <v>-529883</v>
      </c>
      <c r="N20" s="6">
        <f t="shared" si="4"/>
        <v>29892</v>
      </c>
      <c r="O20" s="4">
        <v>22997</v>
      </c>
      <c r="P20" s="4">
        <f t="shared" si="1"/>
        <v>29892</v>
      </c>
      <c r="Q20" s="5">
        <v>5.48</v>
      </c>
      <c r="R20" s="6">
        <f t="shared" si="2"/>
        <v>-8.5906881956419504E-2</v>
      </c>
      <c r="S20" s="27">
        <f t="shared" si="3"/>
        <v>-0.58072373493766027</v>
      </c>
      <c r="T20" s="27" t="s">
        <v>239</v>
      </c>
      <c r="U20" s="4"/>
      <c r="V20" s="4"/>
    </row>
    <row r="21" spans="1:22" s="6" customFormat="1" ht="17">
      <c r="A21" s="6" t="s">
        <v>18</v>
      </c>
      <c r="B21" s="6">
        <v>2021</v>
      </c>
      <c r="C21" s="9">
        <v>5547503</v>
      </c>
      <c r="D21" s="9">
        <v>3681735</v>
      </c>
      <c r="E21" s="4">
        <f t="shared" si="5"/>
        <v>1865768</v>
      </c>
      <c r="F21" s="12">
        <v>2045030</v>
      </c>
      <c r="G21" s="12">
        <v>1034977</v>
      </c>
      <c r="H21" s="3">
        <f t="shared" si="6"/>
        <v>1010053</v>
      </c>
      <c r="I21" s="12">
        <v>365151</v>
      </c>
      <c r="J21" s="13">
        <v>7.51</v>
      </c>
      <c r="K21" s="9">
        <v>974143</v>
      </c>
      <c r="L21" s="4">
        <v>876400</v>
      </c>
      <c r="M21" s="6">
        <v>-876400</v>
      </c>
      <c r="N21" s="6">
        <f t="shared" si="4"/>
        <v>97743</v>
      </c>
      <c r="O21" s="4">
        <v>108097</v>
      </c>
      <c r="P21" s="4">
        <f t="shared" si="1"/>
        <v>97743</v>
      </c>
      <c r="Q21" s="5">
        <v>38.6</v>
      </c>
      <c r="R21" s="6">
        <f t="shared" si="2"/>
        <v>5.1398135818908122</v>
      </c>
      <c r="S21" s="27">
        <f t="shared" si="3"/>
        <v>6.5822587207253425E-2</v>
      </c>
      <c r="T21" s="27" t="s">
        <v>239</v>
      </c>
      <c r="U21" s="4"/>
      <c r="V21" s="4"/>
    </row>
    <row r="22" spans="1:22" s="6" customFormat="1" ht="17">
      <c r="A22" s="6" t="s">
        <v>18</v>
      </c>
      <c r="B22" s="6">
        <v>2022</v>
      </c>
      <c r="C22" s="9">
        <v>6146081</v>
      </c>
      <c r="D22" s="9">
        <v>3060659</v>
      </c>
      <c r="E22" s="4">
        <f t="shared" si="5"/>
        <v>3085422</v>
      </c>
      <c r="F22" s="12">
        <v>3230964</v>
      </c>
      <c r="G22" s="12">
        <v>1550432</v>
      </c>
      <c r="H22" s="3">
        <f t="shared" si="6"/>
        <v>1680532</v>
      </c>
      <c r="I22" s="12">
        <v>1209816</v>
      </c>
      <c r="J22" s="13">
        <v>19.63</v>
      </c>
      <c r="K22" s="9">
        <v>1501517</v>
      </c>
      <c r="L22" s="4">
        <v>999027</v>
      </c>
      <c r="M22" s="6">
        <v>-999027</v>
      </c>
      <c r="N22" s="6">
        <f t="shared" si="4"/>
        <v>502490</v>
      </c>
      <c r="O22" s="4">
        <v>-508977</v>
      </c>
      <c r="P22" s="4">
        <f t="shared" si="1"/>
        <v>502490</v>
      </c>
      <c r="Q22" s="5">
        <v>59.08</v>
      </c>
      <c r="R22" s="6">
        <f t="shared" si="2"/>
        <v>3.0096790626591954</v>
      </c>
      <c r="S22" s="27">
        <f t="shared" si="3"/>
        <v>0.1968434844903606</v>
      </c>
      <c r="T22" s="27" t="s">
        <v>239</v>
      </c>
      <c r="U22" s="4"/>
      <c r="V22" s="4"/>
    </row>
    <row r="23" spans="1:22" s="30" customFormat="1" ht="17">
      <c r="A23" s="30" t="s">
        <v>20</v>
      </c>
      <c r="B23" s="30">
        <v>2012</v>
      </c>
      <c r="C23" s="31">
        <v>41611000</v>
      </c>
      <c r="D23" s="31">
        <v>23715000</v>
      </c>
      <c r="E23" s="32">
        <v>17896000</v>
      </c>
      <c r="F23" s="33">
        <v>12316000</v>
      </c>
      <c r="G23" s="33">
        <v>14010000</v>
      </c>
      <c r="H23" s="34">
        <v>-1694000</v>
      </c>
      <c r="I23" s="33">
        <v>-940000</v>
      </c>
      <c r="J23" s="35">
        <v>-1.46</v>
      </c>
      <c r="K23" s="31">
        <v>2837000</v>
      </c>
      <c r="L23" s="32">
        <v>4984000</v>
      </c>
      <c r="M23" s="30">
        <v>-4984000</v>
      </c>
      <c r="N23" s="30">
        <f t="shared" si="4"/>
        <v>-2147000</v>
      </c>
      <c r="O23" s="32">
        <v>2083000</v>
      </c>
      <c r="P23" s="32">
        <f t="shared" si="1"/>
        <v>-2147000</v>
      </c>
      <c r="Q23" s="36">
        <v>0</v>
      </c>
      <c r="R23" s="30">
        <f t="shared" si="2"/>
        <v>0</v>
      </c>
      <c r="S23" s="37">
        <f>I23/F23</f>
        <v>-7.6323481649886324E-2</v>
      </c>
      <c r="T23" s="27" t="s">
        <v>239</v>
      </c>
      <c r="U23" s="32"/>
      <c r="V23" s="32"/>
    </row>
    <row r="24" spans="1:22" s="30" customFormat="1" ht="17">
      <c r="A24" s="30" t="s">
        <v>20</v>
      </c>
      <c r="B24" s="30">
        <v>2013</v>
      </c>
      <c r="C24" s="31">
        <v>41782000</v>
      </c>
      <c r="D24" s="31">
        <v>23642000</v>
      </c>
      <c r="E24" s="32">
        <v>18140000</v>
      </c>
      <c r="F24" s="33">
        <v>17506000</v>
      </c>
      <c r="G24" s="33">
        <v>15437000</v>
      </c>
      <c r="H24" s="34">
        <v>2069000</v>
      </c>
      <c r="I24" s="33">
        <v>474000</v>
      </c>
      <c r="J24" s="35">
        <v>0.73</v>
      </c>
      <c r="K24" s="31">
        <v>4614000</v>
      </c>
      <c r="L24" s="32">
        <v>2967000</v>
      </c>
      <c r="M24" s="30">
        <v>-2967000</v>
      </c>
      <c r="N24" s="30">
        <f t="shared" si="4"/>
        <v>1647000</v>
      </c>
      <c r="O24" s="32">
        <v>-1097000</v>
      </c>
      <c r="P24" s="32">
        <f t="shared" si="1"/>
        <v>1647000</v>
      </c>
      <c r="Q24" s="36">
        <v>0</v>
      </c>
      <c r="R24" s="30">
        <f t="shared" si="2"/>
        <v>0</v>
      </c>
      <c r="S24" s="37">
        <f t="shared" ref="S24:S43" si="7">I24/C24</f>
        <v>1.1344598152314395E-2</v>
      </c>
      <c r="T24" s="27" t="s">
        <v>239</v>
      </c>
      <c r="U24" s="32"/>
      <c r="V24" s="32"/>
    </row>
    <row r="25" spans="1:22" s="30" customFormat="1" ht="17">
      <c r="A25" s="30" t="s">
        <v>20</v>
      </c>
      <c r="B25" s="30">
        <v>2014</v>
      </c>
      <c r="C25" s="31">
        <v>40751000</v>
      </c>
      <c r="D25" s="31">
        <v>22546000</v>
      </c>
      <c r="E25" s="32">
        <v>18205000</v>
      </c>
      <c r="F25" s="33">
        <v>20951000</v>
      </c>
      <c r="G25" s="33">
        <v>17474000</v>
      </c>
      <c r="H25" s="34">
        <v>3477000</v>
      </c>
      <c r="I25" s="33">
        <v>1273000</v>
      </c>
      <c r="J25" s="35">
        <v>1.93</v>
      </c>
      <c r="K25" s="31">
        <v>4634000</v>
      </c>
      <c r="L25" s="32">
        <v>454000</v>
      </c>
      <c r="M25" s="30">
        <v>-454000</v>
      </c>
      <c r="N25" s="30">
        <f t="shared" si="4"/>
        <v>4180000</v>
      </c>
      <c r="O25" s="32">
        <v>-1817000</v>
      </c>
      <c r="P25" s="32">
        <f t="shared" si="1"/>
        <v>4180000</v>
      </c>
      <c r="Q25" s="36">
        <v>0</v>
      </c>
      <c r="R25" s="30">
        <f t="shared" si="2"/>
        <v>0</v>
      </c>
      <c r="S25" s="37">
        <f t="shared" si="7"/>
        <v>3.1238497214792275E-2</v>
      </c>
      <c r="T25" s="27" t="s">
        <v>239</v>
      </c>
      <c r="U25" s="32"/>
      <c r="V25" s="32"/>
    </row>
    <row r="26" spans="1:22" s="30" customFormat="1" ht="17">
      <c r="A26" s="30" t="s">
        <v>20</v>
      </c>
      <c r="B26" s="30">
        <v>2015</v>
      </c>
      <c r="C26" s="31">
        <v>17357000</v>
      </c>
      <c r="D26" s="31">
        <v>14960000</v>
      </c>
      <c r="E26" s="32">
        <v>2397000</v>
      </c>
      <c r="F26" s="33">
        <v>12764000</v>
      </c>
      <c r="G26" s="33">
        <v>31683000</v>
      </c>
      <c r="H26" s="34">
        <v>-18919000</v>
      </c>
      <c r="I26" s="33">
        <v>-14856000</v>
      </c>
      <c r="J26" s="35">
        <v>-22.43</v>
      </c>
      <c r="K26" s="31">
        <v>1234000</v>
      </c>
      <c r="L26" s="32">
        <v>3451000</v>
      </c>
      <c r="M26" s="30">
        <v>-3451000</v>
      </c>
      <c r="N26" s="30">
        <f t="shared" si="4"/>
        <v>-2217000</v>
      </c>
      <c r="O26" s="32">
        <v>-1066000</v>
      </c>
      <c r="P26" s="32">
        <f t="shared" si="1"/>
        <v>-2217000</v>
      </c>
      <c r="Q26" s="36">
        <v>0</v>
      </c>
      <c r="R26" s="30">
        <f t="shared" si="2"/>
        <v>0</v>
      </c>
      <c r="S26" s="37">
        <f t="shared" si="7"/>
        <v>-0.85590827908048628</v>
      </c>
      <c r="T26" s="27" t="s">
        <v>239</v>
      </c>
      <c r="U26" s="32"/>
      <c r="V26" s="32"/>
    </row>
    <row r="27" spans="1:22" s="30" customFormat="1" ht="17">
      <c r="A27" s="30" t="s">
        <v>20</v>
      </c>
      <c r="B27" s="30">
        <v>2016</v>
      </c>
      <c r="C27" s="31">
        <v>13028000</v>
      </c>
      <c r="D27" s="31">
        <v>14231000</v>
      </c>
      <c r="E27" s="32">
        <v>-1203000</v>
      </c>
      <c r="F27" s="33">
        <v>7872000</v>
      </c>
      <c r="G27" s="33">
        <v>12283000</v>
      </c>
      <c r="H27" s="34">
        <v>-4411000</v>
      </c>
      <c r="I27" s="33">
        <v>-4926000</v>
      </c>
      <c r="J27" s="35">
        <v>-6.45</v>
      </c>
      <c r="K27" s="31">
        <v>-204000</v>
      </c>
      <c r="L27" s="32">
        <v>660000</v>
      </c>
      <c r="M27" s="30">
        <v>-660000</v>
      </c>
      <c r="N27" s="30">
        <f t="shared" si="4"/>
        <v>-864000</v>
      </c>
      <c r="O27" s="32">
        <v>921000</v>
      </c>
      <c r="P27" s="32">
        <f t="shared" si="1"/>
        <v>-864000</v>
      </c>
      <c r="Q27" s="36">
        <v>0</v>
      </c>
      <c r="R27" s="30">
        <f t="shared" si="2"/>
        <v>0</v>
      </c>
      <c r="S27" s="37">
        <f t="shared" si="7"/>
        <v>-0.37810868897758676</v>
      </c>
      <c r="T27" s="27" t="s">
        <v>239</v>
      </c>
      <c r="U27" s="32"/>
      <c r="V27" s="32"/>
    </row>
    <row r="28" spans="1:22" s="30" customFormat="1" ht="17">
      <c r="A28" s="30" t="s">
        <v>20</v>
      </c>
      <c r="B28" s="30">
        <v>2017</v>
      </c>
      <c r="C28" s="31">
        <v>12425000</v>
      </c>
      <c r="D28" s="31">
        <v>12797000</v>
      </c>
      <c r="E28" s="32">
        <v>-372000</v>
      </c>
      <c r="F28" s="33">
        <v>9496000</v>
      </c>
      <c r="G28" s="33">
        <v>8357000</v>
      </c>
      <c r="H28" s="34">
        <v>1139000</v>
      </c>
      <c r="I28" s="33">
        <v>813000</v>
      </c>
      <c r="J28" s="35">
        <v>0.9</v>
      </c>
      <c r="K28" s="31">
        <v>745000</v>
      </c>
      <c r="L28" s="32">
        <v>1188000</v>
      </c>
      <c r="M28" s="30">
        <v>-1188000</v>
      </c>
      <c r="N28" s="30">
        <f t="shared" si="4"/>
        <v>-443000</v>
      </c>
      <c r="O28" s="32">
        <v>-434000</v>
      </c>
      <c r="P28" s="32">
        <f t="shared" si="1"/>
        <v>-443000</v>
      </c>
      <c r="Q28" s="36">
        <v>0</v>
      </c>
      <c r="R28" s="30">
        <f t="shared" si="2"/>
        <v>0</v>
      </c>
      <c r="S28" s="37">
        <f t="shared" si="7"/>
        <v>6.5432595573440638E-2</v>
      </c>
      <c r="T28" s="27" t="s">
        <v>239</v>
      </c>
      <c r="U28" s="32"/>
      <c r="V28" s="32"/>
    </row>
    <row r="29" spans="1:22" s="30" customFormat="1" ht="17">
      <c r="A29" s="30" t="s">
        <v>20</v>
      </c>
      <c r="B29" s="30">
        <v>2018</v>
      </c>
      <c r="C29" s="31">
        <v>10947000</v>
      </c>
      <c r="D29" s="31">
        <v>10480000</v>
      </c>
      <c r="E29" s="32">
        <v>467000</v>
      </c>
      <c r="F29" s="33">
        <v>10231000</v>
      </c>
      <c r="G29" s="33">
        <v>9349000</v>
      </c>
      <c r="H29" s="34">
        <v>882000</v>
      </c>
      <c r="I29" s="33">
        <v>775000</v>
      </c>
      <c r="J29" s="35">
        <v>0.85</v>
      </c>
      <c r="K29" s="31">
        <v>2000000</v>
      </c>
      <c r="L29" s="32">
        <v>185000</v>
      </c>
      <c r="M29" s="30">
        <v>-185000</v>
      </c>
      <c r="N29" s="30">
        <f t="shared" si="4"/>
        <v>1815000</v>
      </c>
      <c r="O29" s="32">
        <v>-2186000</v>
      </c>
      <c r="P29" s="32">
        <f t="shared" si="1"/>
        <v>1815000</v>
      </c>
      <c r="Q29" s="36">
        <v>0</v>
      </c>
      <c r="R29" s="30">
        <f t="shared" si="2"/>
        <v>0</v>
      </c>
      <c r="S29" s="37">
        <f t="shared" si="7"/>
        <v>7.0795651776742491E-2</v>
      </c>
      <c r="T29" s="27" t="s">
        <v>239</v>
      </c>
      <c r="U29" s="32"/>
      <c r="V29" s="32"/>
    </row>
    <row r="30" spans="1:22" s="30" customFormat="1" ht="17">
      <c r="A30" s="30" t="s">
        <v>20</v>
      </c>
      <c r="B30" s="30">
        <v>2019</v>
      </c>
      <c r="C30" s="31">
        <v>16193000</v>
      </c>
      <c r="D30" s="31">
        <v>11792000</v>
      </c>
      <c r="E30" s="32">
        <v>4401000</v>
      </c>
      <c r="F30" s="33">
        <v>8595000</v>
      </c>
      <c r="G30" s="33">
        <v>8626000</v>
      </c>
      <c r="H30" s="34">
        <v>-31000</v>
      </c>
      <c r="I30" s="33">
        <v>-416000</v>
      </c>
      <c r="J30" s="35">
        <v>-0.25</v>
      </c>
      <c r="K30" s="31">
        <v>1623000</v>
      </c>
      <c r="L30" s="32">
        <v>2480000</v>
      </c>
      <c r="M30" s="30">
        <v>-2480000</v>
      </c>
      <c r="N30" s="30">
        <f t="shared" si="4"/>
        <v>-857000</v>
      </c>
      <c r="O30" s="32">
        <v>859000</v>
      </c>
      <c r="P30" s="32">
        <f t="shared" si="1"/>
        <v>-857000</v>
      </c>
      <c r="Q30" s="36">
        <v>0</v>
      </c>
      <c r="R30" s="30">
        <f t="shared" si="2"/>
        <v>0</v>
      </c>
      <c r="S30" s="37">
        <f t="shared" si="7"/>
        <v>-2.5690113011795222E-2</v>
      </c>
      <c r="T30" s="27" t="s">
        <v>239</v>
      </c>
      <c r="U30" s="32"/>
      <c r="V30" s="32"/>
    </row>
    <row r="31" spans="1:22" s="30" customFormat="1" ht="17">
      <c r="A31" s="30" t="s">
        <v>20</v>
      </c>
      <c r="B31" s="30">
        <v>2020</v>
      </c>
      <c r="C31" s="31">
        <v>6584000</v>
      </c>
      <c r="D31" s="31">
        <v>11925000</v>
      </c>
      <c r="E31" s="32">
        <v>-5341000</v>
      </c>
      <c r="F31" s="33">
        <v>5296000</v>
      </c>
      <c r="G31" s="33">
        <v>13999000</v>
      </c>
      <c r="H31" s="34">
        <v>-8703000</v>
      </c>
      <c r="I31" s="33">
        <v>-9750000</v>
      </c>
      <c r="J31" s="35">
        <v>-998.26</v>
      </c>
      <c r="K31" s="31">
        <v>1164000</v>
      </c>
      <c r="L31" s="32">
        <v>992000</v>
      </c>
      <c r="M31" s="30">
        <v>-992000</v>
      </c>
      <c r="N31" s="30">
        <f t="shared" si="4"/>
        <v>172000</v>
      </c>
      <c r="O31" s="32">
        <v>101000</v>
      </c>
      <c r="P31" s="32">
        <f t="shared" si="1"/>
        <v>172000</v>
      </c>
      <c r="Q31" s="36">
        <v>0</v>
      </c>
      <c r="R31" s="30">
        <f t="shared" si="2"/>
        <v>0</v>
      </c>
      <c r="S31" s="37">
        <f t="shared" si="7"/>
        <v>-1.4808626974483596</v>
      </c>
      <c r="T31" s="27" t="s">
        <v>239</v>
      </c>
      <c r="U31" s="32"/>
      <c r="V31" s="32"/>
    </row>
    <row r="32" spans="1:22" s="30" customFormat="1" ht="17">
      <c r="A32" s="30" t="s">
        <v>20</v>
      </c>
      <c r="B32" s="30">
        <v>2021</v>
      </c>
      <c r="C32" s="31">
        <v>11009000</v>
      </c>
      <c r="D32" s="31">
        <v>5338000</v>
      </c>
      <c r="E32" s="32">
        <v>5671000</v>
      </c>
      <c r="F32" s="33">
        <v>5549000</v>
      </c>
      <c r="G32" s="33">
        <v>4611000</v>
      </c>
      <c r="H32" s="34">
        <v>938000</v>
      </c>
      <c r="I32" s="33">
        <v>945000</v>
      </c>
      <c r="J32" s="35">
        <v>9.2899999999999991</v>
      </c>
      <c r="K32" s="31">
        <v>1809000</v>
      </c>
      <c r="L32" s="32">
        <v>850000</v>
      </c>
      <c r="M32" s="30">
        <v>-850000</v>
      </c>
      <c r="N32" s="30">
        <f t="shared" si="4"/>
        <v>959000</v>
      </c>
      <c r="O32" s="32">
        <v>-171000</v>
      </c>
      <c r="P32" s="32">
        <f t="shared" si="1"/>
        <v>959000</v>
      </c>
      <c r="Q32" s="36">
        <v>0</v>
      </c>
      <c r="R32" s="30">
        <f t="shared" si="2"/>
        <v>0</v>
      </c>
      <c r="S32" s="37">
        <f t="shared" si="7"/>
        <v>8.5838859115269325E-2</v>
      </c>
      <c r="T32" s="27" t="s">
        <v>239</v>
      </c>
      <c r="U32" s="32"/>
      <c r="V32" s="32"/>
    </row>
    <row r="33" spans="1:22" s="30" customFormat="1" ht="17">
      <c r="A33" s="30" t="s">
        <v>20</v>
      </c>
      <c r="B33" s="30">
        <v>2022</v>
      </c>
      <c r="C33" s="31">
        <v>15468000</v>
      </c>
      <c r="D33" s="31">
        <v>6344000</v>
      </c>
      <c r="E33" s="32">
        <v>9124000</v>
      </c>
      <c r="F33" s="33">
        <v>11743000</v>
      </c>
      <c r="G33" s="33">
        <v>7963000</v>
      </c>
      <c r="H33" s="34">
        <v>3780000</v>
      </c>
      <c r="I33" s="33">
        <v>4936000</v>
      </c>
      <c r="J33" s="35">
        <v>38.71</v>
      </c>
      <c r="K33" s="31">
        <v>4125000</v>
      </c>
      <c r="L33" s="32">
        <v>3401000</v>
      </c>
      <c r="M33" s="30">
        <v>-3401000</v>
      </c>
      <c r="N33" s="30">
        <f t="shared" si="4"/>
        <v>724000</v>
      </c>
      <c r="O33" s="32">
        <v>-1446000</v>
      </c>
      <c r="P33" s="32">
        <f t="shared" si="1"/>
        <v>724000</v>
      </c>
      <c r="Q33" s="36">
        <v>0</v>
      </c>
      <c r="R33" s="30">
        <f t="shared" si="2"/>
        <v>0</v>
      </c>
      <c r="S33" s="37">
        <f t="shared" si="7"/>
        <v>0.3191104215153866</v>
      </c>
      <c r="T33" s="27" t="s">
        <v>239</v>
      </c>
      <c r="U33" s="32"/>
      <c r="V33" s="32"/>
    </row>
    <row r="34" spans="1:22" s="6" customFormat="1" ht="17">
      <c r="A34" s="6" t="s">
        <v>25</v>
      </c>
      <c r="B34" s="6">
        <v>2022</v>
      </c>
      <c r="C34" s="9">
        <v>6631081</v>
      </c>
      <c r="D34" s="9">
        <v>1951283</v>
      </c>
      <c r="E34" s="4">
        <f t="shared" si="5"/>
        <v>4679798</v>
      </c>
      <c r="F34" s="12">
        <v>3646794</v>
      </c>
      <c r="G34" s="12">
        <f>2067872-4867</f>
        <v>2063005</v>
      </c>
      <c r="H34" s="3">
        <f t="shared" si="6"/>
        <v>1583789</v>
      </c>
      <c r="I34" s="12">
        <v>1856159</v>
      </c>
      <c r="J34" s="13">
        <v>60.86</v>
      </c>
      <c r="K34" s="9">
        <v>1924026</v>
      </c>
      <c r="L34" s="4">
        <v>682562</v>
      </c>
      <c r="M34" s="6">
        <v>-682562</v>
      </c>
      <c r="N34" s="6">
        <f t="shared" si="4"/>
        <v>1241464</v>
      </c>
      <c r="O34" s="4">
        <v>-823096</v>
      </c>
      <c r="P34" s="4">
        <f t="shared" si="1"/>
        <v>1241464</v>
      </c>
      <c r="Q34" s="5">
        <v>146.30000000000001</v>
      </c>
      <c r="R34" s="6">
        <f t="shared" si="2"/>
        <v>2.403877752218206</v>
      </c>
      <c r="S34" s="27">
        <f t="shared" si="7"/>
        <v>0.27991801035155506</v>
      </c>
      <c r="T34" s="27" t="s">
        <v>239</v>
      </c>
      <c r="U34" s="4"/>
      <c r="V34" s="4"/>
    </row>
    <row r="35" spans="1:22" s="6" customFormat="1" ht="17">
      <c r="A35" s="6" t="s">
        <v>27</v>
      </c>
      <c r="B35" s="6">
        <v>2021</v>
      </c>
      <c r="C35" s="9">
        <v>6741033</v>
      </c>
      <c r="D35" s="9">
        <v>2086035</v>
      </c>
      <c r="E35" s="4">
        <f t="shared" si="5"/>
        <v>4654998</v>
      </c>
      <c r="F35" s="12">
        <v>930614</v>
      </c>
      <c r="G35" s="12">
        <v>608551</v>
      </c>
      <c r="H35" s="3">
        <f t="shared" si="6"/>
        <v>322063</v>
      </c>
      <c r="I35" s="12">
        <v>178921</v>
      </c>
      <c r="J35" s="13">
        <v>4.82</v>
      </c>
      <c r="K35" s="9">
        <v>274599</v>
      </c>
      <c r="L35" s="4">
        <v>-73547</v>
      </c>
      <c r="M35" s="6">
        <v>73547</v>
      </c>
      <c r="N35" s="6">
        <f t="shared" si="4"/>
        <v>348146</v>
      </c>
      <c r="O35" s="4">
        <v>-118435</v>
      </c>
      <c r="P35" s="4">
        <f t="shared" si="1"/>
        <v>348146</v>
      </c>
      <c r="Q35" s="5">
        <v>35.729999999999997</v>
      </c>
      <c r="R35" s="6">
        <f t="shared" si="2"/>
        <v>7.4128630705394176</v>
      </c>
      <c r="S35" s="27">
        <f t="shared" si="7"/>
        <v>2.654207448621005E-2</v>
      </c>
      <c r="T35" s="27" t="s">
        <v>239</v>
      </c>
      <c r="U35" s="4"/>
      <c r="V35" s="4"/>
    </row>
    <row r="36" spans="1:22" s="6" customFormat="1" ht="17">
      <c r="A36" s="6" t="s">
        <v>27</v>
      </c>
      <c r="B36" s="6">
        <v>2022</v>
      </c>
      <c r="C36" s="9">
        <v>7971399</v>
      </c>
      <c r="D36" s="9">
        <v>1177927</v>
      </c>
      <c r="E36" s="4">
        <f t="shared" si="5"/>
        <v>6793472</v>
      </c>
      <c r="F36" s="4">
        <v>3791398</v>
      </c>
      <c r="G36" s="4">
        <v>1807358</v>
      </c>
      <c r="H36" s="3">
        <f t="shared" si="6"/>
        <v>1984040</v>
      </c>
      <c r="I36" s="3">
        <v>1248080</v>
      </c>
      <c r="J36" s="13">
        <v>14.68</v>
      </c>
      <c r="K36" s="9">
        <v>2477041</v>
      </c>
      <c r="L36" s="4">
        <v>1306095</v>
      </c>
      <c r="M36" s="6">
        <v>-1306095</v>
      </c>
      <c r="N36" s="6">
        <f t="shared" si="4"/>
        <v>1170946</v>
      </c>
      <c r="O36" s="4">
        <v>-657368</v>
      </c>
      <c r="P36" s="4">
        <f t="shared" si="1"/>
        <v>1170946</v>
      </c>
      <c r="Q36" s="5">
        <v>59.71</v>
      </c>
      <c r="R36" s="6">
        <f t="shared" si="2"/>
        <v>4.0674386920980927</v>
      </c>
      <c r="S36" s="27">
        <f t="shared" si="7"/>
        <v>0.1565697564505302</v>
      </c>
      <c r="T36" s="27" t="s">
        <v>239</v>
      </c>
      <c r="U36" s="4"/>
      <c r="V36" s="4"/>
    </row>
    <row r="37" spans="1:22" s="6" customFormat="1" ht="17">
      <c r="A37" s="6" t="s">
        <v>30</v>
      </c>
      <c r="B37" s="6">
        <v>2012</v>
      </c>
      <c r="C37" s="9">
        <v>117144000</v>
      </c>
      <c r="D37" s="9">
        <f>68717000</f>
        <v>68717000</v>
      </c>
      <c r="E37" s="4">
        <f t="shared" si="5"/>
        <v>48427000</v>
      </c>
      <c r="F37" s="4">
        <v>62004000</v>
      </c>
      <c r="G37" s="4">
        <v>46581000</v>
      </c>
      <c r="H37" s="3">
        <f t="shared" si="6"/>
        <v>15423000</v>
      </c>
      <c r="I37" s="3">
        <v>8428000</v>
      </c>
      <c r="J37" s="13">
        <v>6.77</v>
      </c>
      <c r="K37" s="9">
        <v>13922000</v>
      </c>
      <c r="L37" s="4">
        <v>11627000</v>
      </c>
      <c r="M37" s="6">
        <v>-11627000</v>
      </c>
      <c r="N37" s="6">
        <f t="shared" si="4"/>
        <v>2295000</v>
      </c>
      <c r="O37" s="4">
        <v>-4481</v>
      </c>
      <c r="P37" s="4">
        <f t="shared" si="1"/>
        <v>2295000</v>
      </c>
      <c r="Q37" s="5">
        <v>57.94</v>
      </c>
      <c r="R37" s="6">
        <f t="shared" si="2"/>
        <v>8.5583456425406208</v>
      </c>
      <c r="S37" s="27">
        <f t="shared" si="7"/>
        <v>7.1945639554736054E-2</v>
      </c>
      <c r="T37" s="27" t="s">
        <v>239</v>
      </c>
      <c r="U37" s="4"/>
      <c r="V37" s="4"/>
    </row>
    <row r="38" spans="1:22" s="6" customFormat="1" ht="17">
      <c r="A38" s="6" t="s">
        <v>30</v>
      </c>
      <c r="B38" s="6">
        <v>2013</v>
      </c>
      <c r="C38" s="9">
        <v>118057000</v>
      </c>
      <c r="D38" s="9">
        <v>65565000</v>
      </c>
      <c r="E38" s="4">
        <f t="shared" si="5"/>
        <v>52492000</v>
      </c>
      <c r="F38" s="4">
        <v>58248000</v>
      </c>
      <c r="G38" s="4">
        <v>43802000</v>
      </c>
      <c r="H38" s="3">
        <f t="shared" si="6"/>
        <v>14446000</v>
      </c>
      <c r="I38" s="3">
        <v>9156000</v>
      </c>
      <c r="J38" s="13">
        <v>7.43</v>
      </c>
      <c r="K38" s="9">
        <v>16087000</v>
      </c>
      <c r="L38" s="4">
        <v>6251000</v>
      </c>
      <c r="M38" s="6">
        <v>-6251000</v>
      </c>
      <c r="N38" s="6">
        <f t="shared" si="4"/>
        <v>9836000</v>
      </c>
      <c r="O38" s="4">
        <v>-7133000</v>
      </c>
      <c r="P38" s="4">
        <f t="shared" si="1"/>
        <v>9836000</v>
      </c>
      <c r="Q38" s="5">
        <v>60.1</v>
      </c>
      <c r="R38" s="6">
        <f t="shared" si="2"/>
        <v>8.0888290713324373</v>
      </c>
      <c r="S38" s="27">
        <f t="shared" si="7"/>
        <v>7.7555756964855962E-2</v>
      </c>
      <c r="T38" s="27" t="s">
        <v>239</v>
      </c>
      <c r="U38" s="4"/>
      <c r="V38" s="4"/>
    </row>
    <row r="39" spans="1:22" s="6" customFormat="1" ht="17">
      <c r="A39" s="6" t="s">
        <v>30</v>
      </c>
      <c r="B39" s="6">
        <v>2014</v>
      </c>
      <c r="C39" s="9">
        <v>116539000</v>
      </c>
      <c r="D39" s="9">
        <v>64266000</v>
      </c>
      <c r="E39" s="4">
        <f t="shared" si="5"/>
        <v>52273000</v>
      </c>
      <c r="F39" s="4">
        <v>55517000</v>
      </c>
      <c r="G39" s="4">
        <v>46127000</v>
      </c>
      <c r="H39" s="3">
        <f t="shared" si="6"/>
        <v>9390000</v>
      </c>
      <c r="I39" s="3">
        <v>-6869</v>
      </c>
      <c r="J39" s="13">
        <v>5.54</v>
      </c>
      <c r="K39" s="9">
        <v>16735000</v>
      </c>
      <c r="L39" s="4">
        <v>15131000</v>
      </c>
      <c r="M39" s="6">
        <v>-15131000</v>
      </c>
      <c r="N39" s="6">
        <f t="shared" si="4"/>
        <v>1604000</v>
      </c>
      <c r="O39" s="4">
        <v>2574000</v>
      </c>
      <c r="P39" s="4">
        <f t="shared" si="1"/>
        <v>1604000</v>
      </c>
      <c r="Q39" s="5">
        <v>70.349999999999994</v>
      </c>
      <c r="R39" s="6">
        <f t="shared" si="2"/>
        <v>12.6985559566787</v>
      </c>
      <c r="S39" s="27">
        <f t="shared" si="7"/>
        <v>-5.8941641853800012E-5</v>
      </c>
      <c r="T39" s="27" t="s">
        <v>239</v>
      </c>
      <c r="U39" s="4"/>
      <c r="V39" s="4"/>
    </row>
    <row r="40" spans="1:22" s="6" customFormat="1" ht="17">
      <c r="A40" s="6" t="s">
        <v>30</v>
      </c>
      <c r="B40" s="6">
        <v>2015</v>
      </c>
      <c r="C40" s="9">
        <v>97484000</v>
      </c>
      <c r="D40" s="9">
        <v>57402000</v>
      </c>
      <c r="E40" s="4">
        <f t="shared" si="5"/>
        <v>40082000</v>
      </c>
      <c r="F40" s="4">
        <v>30935000</v>
      </c>
      <c r="G40" s="4">
        <v>38174000</v>
      </c>
      <c r="H40" s="3">
        <f t="shared" si="6"/>
        <v>-7239000</v>
      </c>
      <c r="I40" s="3">
        <v>-4428000</v>
      </c>
      <c r="J40" s="13">
        <v>-3.58</v>
      </c>
      <c r="K40" s="9">
        <v>7572000</v>
      </c>
      <c r="L40" s="4">
        <v>8655000</v>
      </c>
      <c r="M40" s="6">
        <v>-8655000</v>
      </c>
      <c r="N40" s="6">
        <f t="shared" si="4"/>
        <v>-1083000</v>
      </c>
      <c r="O40" s="4">
        <v>-1429000</v>
      </c>
      <c r="P40" s="4">
        <f t="shared" si="1"/>
        <v>-1083000</v>
      </c>
      <c r="Q40" s="5">
        <v>62.26</v>
      </c>
      <c r="R40" s="6">
        <f t="shared" si="2"/>
        <v>-17.391061452513966</v>
      </c>
      <c r="S40" s="27">
        <f t="shared" si="7"/>
        <v>-4.5422838619670919E-2</v>
      </c>
      <c r="T40" s="27" t="s">
        <v>239</v>
      </c>
      <c r="U40" s="4"/>
      <c r="V40" s="4"/>
    </row>
    <row r="41" spans="1:22" s="6" customFormat="1" ht="17">
      <c r="A41" s="6" t="s">
        <v>30</v>
      </c>
      <c r="B41" s="6">
        <v>2016</v>
      </c>
      <c r="C41" s="9">
        <v>89772000</v>
      </c>
      <c r="D41" s="9">
        <v>54546000</v>
      </c>
      <c r="E41" s="4">
        <f t="shared" si="5"/>
        <v>35226000</v>
      </c>
      <c r="F41" s="4">
        <v>24360000</v>
      </c>
      <c r="G41" s="4">
        <v>29890000</v>
      </c>
      <c r="H41" s="3">
        <f t="shared" si="6"/>
        <v>-5530000</v>
      </c>
      <c r="I41" s="3">
        <v>-3615000</v>
      </c>
      <c r="J41" s="13">
        <v>-2.91</v>
      </c>
      <c r="K41" s="9">
        <v>4403000</v>
      </c>
      <c r="L41" s="4">
        <v>3859000</v>
      </c>
      <c r="M41" s="6">
        <v>-3859000</v>
      </c>
      <c r="N41" s="6">
        <f t="shared" si="4"/>
        <v>544000</v>
      </c>
      <c r="O41" s="4">
        <v>764000</v>
      </c>
      <c r="P41" s="4">
        <f t="shared" si="1"/>
        <v>544000</v>
      </c>
      <c r="Q41" s="5">
        <v>40.270000000000003</v>
      </c>
      <c r="R41" s="6">
        <f t="shared" si="2"/>
        <v>-13.838487972508592</v>
      </c>
      <c r="S41" s="27">
        <f t="shared" si="7"/>
        <v>-4.0268680657666089E-2</v>
      </c>
      <c r="T41" s="27" t="s">
        <v>239</v>
      </c>
      <c r="U41" s="4"/>
      <c r="V41" s="4"/>
    </row>
    <row r="42" spans="1:22" s="6" customFormat="1" ht="17">
      <c r="A42" s="6" t="s">
        <v>30</v>
      </c>
      <c r="B42" s="6">
        <v>2017</v>
      </c>
      <c r="C42" s="9">
        <v>73362000</v>
      </c>
      <c r="D42" s="9">
        <v>42561000</v>
      </c>
      <c r="E42" s="4">
        <f t="shared" si="5"/>
        <v>30801000</v>
      </c>
      <c r="F42" s="4">
        <v>32584000</v>
      </c>
      <c r="G42" s="4">
        <v>35199000</v>
      </c>
      <c r="H42" s="3">
        <f t="shared" si="6"/>
        <v>-2615000</v>
      </c>
      <c r="I42" s="3">
        <v>-855000</v>
      </c>
      <c r="J42" s="13">
        <v>-0.7</v>
      </c>
      <c r="K42" s="9">
        <v>7077000</v>
      </c>
      <c r="L42" s="4">
        <v>-7762000</v>
      </c>
      <c r="M42" s="6">
        <v>7762000</v>
      </c>
      <c r="N42" s="6">
        <f t="shared" si="4"/>
        <v>14839000</v>
      </c>
      <c r="O42" s="4">
        <v>-12356000</v>
      </c>
      <c r="P42" s="4">
        <f t="shared" si="1"/>
        <v>14839000</v>
      </c>
      <c r="Q42" s="5">
        <v>49.87</v>
      </c>
      <c r="R42" s="6">
        <f t="shared" si="2"/>
        <v>-71.242857142857147</v>
      </c>
      <c r="S42" s="27">
        <f t="shared" si="7"/>
        <v>-1.1654535045391348E-2</v>
      </c>
      <c r="T42" s="27" t="s">
        <v>239</v>
      </c>
      <c r="U42" s="4"/>
      <c r="V42" s="4"/>
    </row>
    <row r="43" spans="1:22" s="6" customFormat="1" ht="17">
      <c r="A43" s="6" t="s">
        <v>30</v>
      </c>
      <c r="B43" s="6">
        <v>2018</v>
      </c>
      <c r="C43" s="9">
        <v>69980000</v>
      </c>
      <c r="D43" s="9">
        <v>37916000</v>
      </c>
      <c r="E43" s="4">
        <f t="shared" si="5"/>
        <v>32064000</v>
      </c>
      <c r="F43" s="4">
        <v>38727000</v>
      </c>
      <c r="G43" s="4">
        <v>28754000</v>
      </c>
      <c r="H43" s="3">
        <f t="shared" si="6"/>
        <v>9973000</v>
      </c>
      <c r="I43" s="3">
        <v>6305000</v>
      </c>
      <c r="J43" s="13">
        <v>5.36</v>
      </c>
      <c r="K43" s="9">
        <v>12934000</v>
      </c>
      <c r="L43" s="4">
        <v>3843000</v>
      </c>
      <c r="M43" s="6">
        <v>-3843000</v>
      </c>
      <c r="N43" s="6">
        <f t="shared" si="4"/>
        <v>9091000</v>
      </c>
      <c r="O43" s="4">
        <v>-9359000</v>
      </c>
      <c r="P43" s="4">
        <f t="shared" si="1"/>
        <v>9091000</v>
      </c>
      <c r="Q43" s="5">
        <v>59.29</v>
      </c>
      <c r="R43" s="6">
        <f t="shared" si="2"/>
        <v>11.061567164179104</v>
      </c>
      <c r="S43" s="27">
        <f t="shared" si="7"/>
        <v>9.0097170620177192E-2</v>
      </c>
      <c r="T43" s="27" t="s">
        <v>239</v>
      </c>
      <c r="U43" s="4"/>
      <c r="V43" s="4"/>
    </row>
    <row r="44" spans="1:22" s="6" customFormat="1" ht="17">
      <c r="A44" s="6" t="s">
        <v>30</v>
      </c>
      <c r="B44" s="6">
        <v>2019</v>
      </c>
      <c r="C44" s="9">
        <v>70514000</v>
      </c>
      <c r="D44" s="9">
        <v>35464000</v>
      </c>
      <c r="E44" s="4">
        <f t="shared" si="5"/>
        <v>35050000</v>
      </c>
      <c r="F44" s="4">
        <v>36670000</v>
      </c>
      <c r="G44" s="4">
        <v>27146000</v>
      </c>
      <c r="H44" s="3">
        <f t="shared" si="6"/>
        <v>9524000</v>
      </c>
      <c r="I44" s="3">
        <v>7189000</v>
      </c>
      <c r="J44" s="13">
        <v>6.43</v>
      </c>
      <c r="K44" s="9">
        <v>11104000</v>
      </c>
      <c r="L44" s="4">
        <v>6618000</v>
      </c>
      <c r="M44" s="6">
        <v>-6618000</v>
      </c>
      <c r="N44" s="6">
        <f t="shared" si="4"/>
        <v>4486000</v>
      </c>
      <c r="O44" s="4">
        <v>-5229000</v>
      </c>
      <c r="P44" s="4">
        <f t="shared" si="1"/>
        <v>4486000</v>
      </c>
      <c r="Q44" s="5">
        <v>66.739999999999995</v>
      </c>
      <c r="R44" s="6">
        <f t="shared" si="2"/>
        <v>10.379471228615863</v>
      </c>
      <c r="S44" s="27">
        <f>I44/F44</f>
        <v>0.19604581401690754</v>
      </c>
      <c r="T44" s="27" t="s">
        <v>239</v>
      </c>
      <c r="U44" s="4"/>
      <c r="V44" s="4"/>
    </row>
    <row r="45" spans="1:22" s="6" customFormat="1" ht="17">
      <c r="A45" s="6" t="s">
        <v>30</v>
      </c>
      <c r="B45" s="6">
        <v>2020</v>
      </c>
      <c r="C45" s="9">
        <v>22396000</v>
      </c>
      <c r="D45" s="9">
        <v>32769000</v>
      </c>
      <c r="E45" s="4">
        <f t="shared" si="5"/>
        <v>-10373000</v>
      </c>
      <c r="F45" s="4">
        <v>19256000</v>
      </c>
      <c r="G45" s="4">
        <v>22396000</v>
      </c>
      <c r="H45" s="3">
        <f t="shared" si="6"/>
        <v>-3140000</v>
      </c>
      <c r="I45" s="3">
        <v>-2701000</v>
      </c>
      <c r="J45" s="13">
        <v>-2.5099999999999998</v>
      </c>
      <c r="K45" s="9">
        <v>4802000</v>
      </c>
      <c r="L45" s="4">
        <v>4121000</v>
      </c>
      <c r="M45" s="6">
        <v>-4121000</v>
      </c>
      <c r="N45" s="6">
        <f t="shared" si="4"/>
        <v>681000</v>
      </c>
      <c r="O45" s="4">
        <v>-2708000</v>
      </c>
      <c r="P45" s="4">
        <f t="shared" si="1"/>
        <v>681000</v>
      </c>
      <c r="Q45" s="5">
        <v>30.8</v>
      </c>
      <c r="R45" s="6">
        <f t="shared" si="2"/>
        <v>-12.270916334661356</v>
      </c>
      <c r="S45" s="27">
        <f>I45/F45</f>
        <v>-0.14026796842542585</v>
      </c>
      <c r="T45" s="27" t="s">
        <v>239</v>
      </c>
      <c r="U45" s="4"/>
      <c r="V45" s="4"/>
    </row>
    <row r="46" spans="1:22" s="6" customFormat="1" ht="17">
      <c r="A46" s="6" t="s">
        <v>30</v>
      </c>
      <c r="B46" s="6">
        <v>2021</v>
      </c>
      <c r="C46" s="9">
        <v>90661000</v>
      </c>
      <c r="D46" s="9">
        <v>45255000</v>
      </c>
      <c r="E46" s="4">
        <f t="shared" si="5"/>
        <v>45406000</v>
      </c>
      <c r="F46" s="4">
        <v>48349000</v>
      </c>
      <c r="G46" s="4">
        <v>35637000</v>
      </c>
      <c r="H46" s="3">
        <f t="shared" si="6"/>
        <v>12712000</v>
      </c>
      <c r="I46" s="3">
        <v>8079000</v>
      </c>
      <c r="J46" s="13">
        <v>6.09</v>
      </c>
      <c r="K46" s="9">
        <v>16996000</v>
      </c>
      <c r="L46" s="4">
        <v>8544000</v>
      </c>
      <c r="M46" s="6">
        <v>-8544000</v>
      </c>
      <c r="N46" s="6">
        <f t="shared" si="4"/>
        <v>8452000</v>
      </c>
      <c r="O46" s="4">
        <v>-6335000</v>
      </c>
      <c r="P46" s="4">
        <f t="shared" si="1"/>
        <v>8452000</v>
      </c>
      <c r="Q46" s="5">
        <v>52.97</v>
      </c>
      <c r="R46" s="6">
        <f t="shared" si="2"/>
        <v>8.6978653530377663</v>
      </c>
      <c r="S46" s="27">
        <f t="shared" ref="S46:S77" si="8">I46/C46</f>
        <v>8.911218715875624E-2</v>
      </c>
      <c r="T46" s="27" t="s">
        <v>239</v>
      </c>
      <c r="U46" s="4"/>
      <c r="V46" s="4"/>
    </row>
    <row r="47" spans="1:22" s="6" customFormat="1" ht="17">
      <c r="A47" s="6" t="s">
        <v>30</v>
      </c>
      <c r="B47" s="6">
        <v>2022</v>
      </c>
      <c r="C47" s="9">
        <v>93829000</v>
      </c>
      <c r="D47" s="9">
        <v>45826000</v>
      </c>
      <c r="E47" s="4">
        <f t="shared" si="5"/>
        <v>48003000</v>
      </c>
      <c r="F47" s="4">
        <v>82156000</v>
      </c>
      <c r="G47" s="4">
        <v>53928000</v>
      </c>
      <c r="H47" s="3">
        <f t="shared" si="6"/>
        <v>28228000</v>
      </c>
      <c r="I47" s="3">
        <v>18680000</v>
      </c>
      <c r="J47" s="13">
        <v>14.62</v>
      </c>
      <c r="K47" s="9">
        <v>28314000</v>
      </c>
      <c r="L47" s="4">
        <v>8741000</v>
      </c>
      <c r="M47" s="6">
        <v>-8741000</v>
      </c>
      <c r="N47" s="6">
        <f t="shared" si="4"/>
        <v>19573000</v>
      </c>
      <c r="O47" s="4">
        <v>-18053000</v>
      </c>
      <c r="P47" s="4">
        <f t="shared" si="1"/>
        <v>19573000</v>
      </c>
      <c r="Q47" s="5">
        <v>100</v>
      </c>
      <c r="R47" s="6">
        <f t="shared" si="2"/>
        <v>6.8399452804377567</v>
      </c>
      <c r="S47" s="27">
        <f t="shared" si="8"/>
        <v>0.19908557055920878</v>
      </c>
      <c r="T47" s="27" t="s">
        <v>239</v>
      </c>
      <c r="U47" s="4"/>
      <c r="V47" s="4"/>
    </row>
    <row r="48" spans="1:22" s="6" customFormat="1" ht="17">
      <c r="A48" s="6" t="s">
        <v>43</v>
      </c>
      <c r="B48" s="6">
        <v>2021</v>
      </c>
      <c r="C48" s="9">
        <v>19900000</v>
      </c>
      <c r="D48" s="9">
        <v>8112000</v>
      </c>
      <c r="E48" s="4">
        <f t="shared" si="5"/>
        <v>11788000</v>
      </c>
      <c r="F48" s="4">
        <v>3449000</v>
      </c>
      <c r="G48" s="4">
        <v>1883000</v>
      </c>
      <c r="H48" s="3">
        <f t="shared" si="6"/>
        <v>1566000</v>
      </c>
      <c r="I48" s="3">
        <v>1158000</v>
      </c>
      <c r="J48" s="13">
        <v>2.2999999999999998</v>
      </c>
      <c r="K48" s="9">
        <v>1667000</v>
      </c>
      <c r="L48" s="4">
        <v>-313000</v>
      </c>
      <c r="M48" s="6">
        <v>313000</v>
      </c>
      <c r="N48" s="6">
        <f t="shared" si="4"/>
        <v>1980000</v>
      </c>
      <c r="O48" s="4">
        <v>-1086000</v>
      </c>
      <c r="P48" s="4">
        <f t="shared" si="1"/>
        <v>1980000</v>
      </c>
      <c r="Q48" s="5">
        <v>18.78</v>
      </c>
      <c r="R48" s="6">
        <f t="shared" si="2"/>
        <v>8.1652173913043491</v>
      </c>
      <c r="S48" s="27">
        <f t="shared" si="8"/>
        <v>5.8190954773869347E-2</v>
      </c>
      <c r="T48" s="27" t="s">
        <v>239</v>
      </c>
      <c r="U48" s="4"/>
      <c r="V48" s="4"/>
    </row>
    <row r="49" spans="1:22" s="6" customFormat="1" ht="17">
      <c r="A49" s="6" t="s">
        <v>43</v>
      </c>
      <c r="B49" s="6">
        <v>2022</v>
      </c>
      <c r="C49" s="9">
        <v>20154000</v>
      </c>
      <c r="D49" s="9">
        <v>7484000</v>
      </c>
      <c r="E49" s="4">
        <f t="shared" si="5"/>
        <v>12670000</v>
      </c>
      <c r="F49" s="4">
        <v>9051000</v>
      </c>
      <c r="G49" s="4">
        <v>5209000</v>
      </c>
      <c r="H49" s="3">
        <f t="shared" si="6"/>
        <v>3842000</v>
      </c>
      <c r="I49" s="3">
        <v>4065000</v>
      </c>
      <c r="J49" s="13">
        <v>5.09</v>
      </c>
      <c r="K49" s="9">
        <v>5456000</v>
      </c>
      <c r="L49" s="4">
        <v>1674000</v>
      </c>
      <c r="M49" s="6">
        <v>-1674000</v>
      </c>
      <c r="N49" s="6">
        <f t="shared" si="4"/>
        <v>3782000</v>
      </c>
      <c r="O49" s="4">
        <v>-4145000</v>
      </c>
      <c r="P49" s="4">
        <f t="shared" si="1"/>
        <v>3782000</v>
      </c>
      <c r="Q49" s="5">
        <v>26.97</v>
      </c>
      <c r="R49" s="6">
        <f t="shared" si="2"/>
        <v>5.2986247544204321</v>
      </c>
      <c r="S49" s="27">
        <f t="shared" si="8"/>
        <v>0.20169693361119381</v>
      </c>
      <c r="T49" s="27" t="s">
        <v>239</v>
      </c>
      <c r="U49" s="4"/>
      <c r="V49" s="4"/>
    </row>
    <row r="50" spans="1:22" s="6" customFormat="1" ht="17">
      <c r="A50" s="6" t="s">
        <v>46</v>
      </c>
      <c r="B50" s="6">
        <v>2017</v>
      </c>
      <c r="C50" s="9">
        <v>16005000</v>
      </c>
      <c r="D50" s="9">
        <v>6842000</v>
      </c>
      <c r="E50" s="4">
        <f t="shared" si="5"/>
        <v>9163000</v>
      </c>
      <c r="F50" s="4">
        <v>2796000</v>
      </c>
      <c r="G50" s="4">
        <v>2819000</v>
      </c>
      <c r="H50" s="3">
        <f t="shared" si="6"/>
        <v>-23000</v>
      </c>
      <c r="I50" s="3">
        <v>-124000</v>
      </c>
      <c r="J50" s="13">
        <v>-0.23</v>
      </c>
      <c r="K50" s="9">
        <v>1718000</v>
      </c>
      <c r="L50" s="4">
        <v>1960000</v>
      </c>
      <c r="M50" s="6">
        <v>-1960000</v>
      </c>
      <c r="N50" s="6">
        <f t="shared" si="4"/>
        <v>-242000</v>
      </c>
      <c r="O50" s="4">
        <v>291200</v>
      </c>
      <c r="P50" s="4">
        <f t="shared" si="1"/>
        <v>-242000</v>
      </c>
      <c r="Q50" s="5">
        <v>10.78</v>
      </c>
      <c r="R50" s="6">
        <f t="shared" si="2"/>
        <v>-46.869565217391298</v>
      </c>
      <c r="S50" s="27">
        <f t="shared" si="8"/>
        <v>-7.7475788815994998E-3</v>
      </c>
      <c r="T50" s="27" t="s">
        <v>239</v>
      </c>
      <c r="U50" s="4"/>
      <c r="V50" s="4"/>
    </row>
    <row r="51" spans="1:22" s="6" customFormat="1" ht="17">
      <c r="A51" s="6" t="s">
        <v>46</v>
      </c>
      <c r="B51" s="6">
        <v>2018</v>
      </c>
      <c r="C51" s="9">
        <v>12730000</v>
      </c>
      <c r="D51" s="9">
        <v>6117000</v>
      </c>
      <c r="E51" s="4">
        <f t="shared" si="5"/>
        <v>6613000</v>
      </c>
      <c r="F51" s="4">
        <v>3356000</v>
      </c>
      <c r="G51" s="4">
        <v>6912000</v>
      </c>
      <c r="H51" s="3">
        <f t="shared" si="6"/>
        <v>-3556000</v>
      </c>
      <c r="I51" s="3">
        <v>-2377000</v>
      </c>
      <c r="J51" s="13">
        <v>-4.7699999999999996</v>
      </c>
      <c r="K51" s="9">
        <v>1748000</v>
      </c>
      <c r="L51" s="4">
        <v>1509000</v>
      </c>
      <c r="M51" s="6">
        <v>-1509000</v>
      </c>
      <c r="N51" s="6">
        <f t="shared" si="4"/>
        <v>239000</v>
      </c>
      <c r="O51" s="4">
        <v>-287900</v>
      </c>
      <c r="P51" s="4">
        <f t="shared" si="1"/>
        <v>239000</v>
      </c>
      <c r="Q51" s="5">
        <v>6.78</v>
      </c>
      <c r="R51" s="6">
        <f t="shared" si="2"/>
        <v>-1.4213836477987423</v>
      </c>
      <c r="S51" s="27">
        <f t="shared" si="8"/>
        <v>-0.18672427336999214</v>
      </c>
      <c r="T51" s="27" t="s">
        <v>239</v>
      </c>
      <c r="U51" s="4"/>
      <c r="V51" s="4"/>
    </row>
    <row r="52" spans="1:22" s="6" customFormat="1" ht="17">
      <c r="A52" s="6" t="s">
        <v>46</v>
      </c>
      <c r="B52" s="6">
        <v>2019</v>
      </c>
      <c r="C52" s="9">
        <v>10091800</v>
      </c>
      <c r="D52" s="9">
        <v>4749100</v>
      </c>
      <c r="E52" s="4">
        <f t="shared" si="5"/>
        <v>5342700</v>
      </c>
      <c r="F52" s="4">
        <v>2656200</v>
      </c>
      <c r="G52" s="4">
        <v>3848500</v>
      </c>
      <c r="H52" s="3">
        <f t="shared" si="6"/>
        <v>-1192300</v>
      </c>
      <c r="I52" s="3">
        <v>-1129500</v>
      </c>
      <c r="J52" s="13">
        <v>-1.89</v>
      </c>
      <c r="K52" s="9">
        <v>1742900</v>
      </c>
      <c r="L52" s="4">
        <v>345000</v>
      </c>
      <c r="M52" s="6">
        <v>-345000</v>
      </c>
      <c r="N52" s="6">
        <f t="shared" si="4"/>
        <v>1397900</v>
      </c>
      <c r="O52" s="4">
        <v>-1355700</v>
      </c>
      <c r="P52" s="4">
        <f t="shared" si="1"/>
        <v>1397900</v>
      </c>
      <c r="Q52" s="5">
        <v>3.23</v>
      </c>
      <c r="R52" s="6">
        <f t="shared" si="2"/>
        <v>-1.7089947089947091</v>
      </c>
      <c r="S52" s="27">
        <f t="shared" si="8"/>
        <v>-0.11192255098198538</v>
      </c>
      <c r="T52" s="27" t="s">
        <v>239</v>
      </c>
      <c r="U52" s="4"/>
      <c r="V52" s="4"/>
    </row>
    <row r="53" spans="1:22" s="6" customFormat="1" ht="17">
      <c r="A53" s="6" t="s">
        <v>46</v>
      </c>
      <c r="B53" s="6">
        <v>2020</v>
      </c>
      <c r="C53" s="9">
        <v>6645900</v>
      </c>
      <c r="D53" s="9">
        <v>3823100</v>
      </c>
      <c r="E53" s="4">
        <f t="shared" si="5"/>
        <v>2822800</v>
      </c>
      <c r="F53" s="4">
        <v>2003600</v>
      </c>
      <c r="G53" s="4">
        <v>5151100</v>
      </c>
      <c r="H53" s="3">
        <f t="shared" si="6"/>
        <v>-3147500</v>
      </c>
      <c r="I53" s="3">
        <v>-2497.6999999999998</v>
      </c>
      <c r="J53" s="13">
        <v>-4.76</v>
      </c>
      <c r="K53" s="9">
        <v>860500</v>
      </c>
      <c r="L53" s="4">
        <v>269000</v>
      </c>
      <c r="M53" s="6">
        <v>-269000</v>
      </c>
      <c r="N53" s="6">
        <f t="shared" si="4"/>
        <v>591500</v>
      </c>
      <c r="O53" s="4">
        <v>639500</v>
      </c>
      <c r="P53" s="4">
        <f t="shared" si="1"/>
        <v>591500</v>
      </c>
      <c r="Q53" s="5">
        <v>0.77</v>
      </c>
      <c r="R53" s="6">
        <f t="shared" si="2"/>
        <v>-0.16176470588235295</v>
      </c>
      <c r="S53" s="27">
        <f t="shared" si="8"/>
        <v>-3.7582569704629919E-4</v>
      </c>
      <c r="T53" s="27" t="s">
        <v>239</v>
      </c>
      <c r="U53" s="4"/>
      <c r="V53" s="4"/>
    </row>
    <row r="54" spans="1:22" s="6" customFormat="1" ht="17">
      <c r="A54" s="6" t="s">
        <v>46</v>
      </c>
      <c r="B54" s="6">
        <v>2021</v>
      </c>
      <c r="C54" s="9">
        <v>9171200</v>
      </c>
      <c r="D54" s="9">
        <v>3765900</v>
      </c>
      <c r="E54" s="4">
        <f t="shared" si="5"/>
        <v>5405300</v>
      </c>
      <c r="F54" s="4">
        <v>2439900</v>
      </c>
      <c r="G54" s="4">
        <v>-723900</v>
      </c>
      <c r="H54" s="3">
        <f t="shared" si="6"/>
        <v>3163800</v>
      </c>
      <c r="I54" s="3">
        <v>2376000</v>
      </c>
      <c r="J54" s="13">
        <v>4.1500000000000004</v>
      </c>
      <c r="K54" s="9">
        <v>1495800</v>
      </c>
      <c r="L54" s="4">
        <v>1193400</v>
      </c>
      <c r="M54" s="6">
        <v>-1193400</v>
      </c>
      <c r="N54" s="6">
        <f t="shared" si="4"/>
        <v>302400</v>
      </c>
      <c r="O54" s="4">
        <v>297200</v>
      </c>
      <c r="P54" s="4">
        <f t="shared" si="1"/>
        <v>302400</v>
      </c>
      <c r="Q54" s="5">
        <v>4.16</v>
      </c>
      <c r="R54" s="6">
        <f t="shared" si="2"/>
        <v>1.0024096385542167</v>
      </c>
      <c r="S54" s="27">
        <f t="shared" si="8"/>
        <v>0.25907187718073971</v>
      </c>
      <c r="T54" s="27" t="s">
        <v>239</v>
      </c>
      <c r="U54" s="4"/>
      <c r="V54" s="4"/>
    </row>
    <row r="55" spans="1:22" s="6" customFormat="1" ht="17">
      <c r="A55" s="6" t="s">
        <v>46</v>
      </c>
      <c r="B55" s="6">
        <v>2022</v>
      </c>
      <c r="C55" s="9">
        <v>9486400</v>
      </c>
      <c r="D55" s="9">
        <v>2993000</v>
      </c>
      <c r="E55" s="4">
        <f t="shared" si="5"/>
        <v>6493400</v>
      </c>
      <c r="F55" s="4">
        <v>3578400</v>
      </c>
      <c r="G55" s="4">
        <v>1707100</v>
      </c>
      <c r="H55" s="3">
        <f t="shared" si="6"/>
        <v>1871300</v>
      </c>
      <c r="I55" s="3">
        <v>1574100</v>
      </c>
      <c r="J55" s="13">
        <v>2.62</v>
      </c>
      <c r="K55" s="9">
        <v>2192200</v>
      </c>
      <c r="L55" s="4">
        <v>860600</v>
      </c>
      <c r="M55" s="6">
        <v>-860600</v>
      </c>
      <c r="N55" s="6">
        <f t="shared" si="4"/>
        <v>1331600</v>
      </c>
      <c r="O55" s="4">
        <v>-1056000</v>
      </c>
      <c r="P55" s="4">
        <f t="shared" si="1"/>
        <v>1331600</v>
      </c>
      <c r="Q55" s="5">
        <v>7.23</v>
      </c>
      <c r="R55" s="6">
        <f t="shared" si="2"/>
        <v>2.7595419847328246</v>
      </c>
      <c r="S55" s="27">
        <f t="shared" si="8"/>
        <v>0.16593228200371057</v>
      </c>
      <c r="T55" s="27" t="s">
        <v>239</v>
      </c>
      <c r="U55" s="4"/>
      <c r="V55" s="4"/>
    </row>
    <row r="56" spans="1:22" s="6" customFormat="1" ht="17">
      <c r="A56" s="6" t="s">
        <v>46</v>
      </c>
      <c r="B56" s="6">
        <v>2016</v>
      </c>
      <c r="C56" s="9">
        <v>16163600</v>
      </c>
      <c r="D56" s="9">
        <v>842500</v>
      </c>
      <c r="E56" s="4">
        <f t="shared" si="5"/>
        <v>15321100</v>
      </c>
      <c r="F56" s="4">
        <v>1939900</v>
      </c>
      <c r="G56" s="4">
        <v>3253700</v>
      </c>
      <c r="H56" s="3">
        <f t="shared" si="6"/>
        <v>-1313800</v>
      </c>
      <c r="I56" s="3">
        <v>-992000</v>
      </c>
      <c r="J56" s="13">
        <v>-1.81</v>
      </c>
      <c r="K56" s="9">
        <v>1524300</v>
      </c>
      <c r="L56" s="4">
        <v>1360400</v>
      </c>
      <c r="M56" s="6">
        <v>-1360400</v>
      </c>
      <c r="N56" s="6">
        <f t="shared" si="4"/>
        <v>163900</v>
      </c>
      <c r="O56" s="4">
        <v>-175600</v>
      </c>
      <c r="P56" s="4">
        <f t="shared" si="1"/>
        <v>163900</v>
      </c>
      <c r="Q56" s="5">
        <v>13.79</v>
      </c>
      <c r="R56" s="6">
        <f t="shared" si="2"/>
        <v>-7.6187845303867396</v>
      </c>
      <c r="S56" s="27">
        <f t="shared" si="8"/>
        <v>-6.1372466529733473E-2</v>
      </c>
      <c r="T56" s="27" t="s">
        <v>239</v>
      </c>
      <c r="U56" s="4"/>
      <c r="V56" s="4"/>
    </row>
    <row r="57" spans="1:22" s="6" customFormat="1" ht="17">
      <c r="A57" s="6" t="s">
        <v>54</v>
      </c>
      <c r="B57" s="6">
        <v>2017</v>
      </c>
      <c r="C57" s="9">
        <v>30241000</v>
      </c>
      <c r="D57" s="9">
        <f>C57-E57</f>
        <v>16137000</v>
      </c>
      <c r="E57" s="4">
        <v>14104000</v>
      </c>
      <c r="F57" s="4">
        <v>13949000</v>
      </c>
      <c r="G57" s="4">
        <v>13053000</v>
      </c>
      <c r="H57" s="3">
        <f t="shared" si="6"/>
        <v>896000</v>
      </c>
      <c r="I57" s="3">
        <v>1010000</v>
      </c>
      <c r="J57" s="13">
        <v>1.71</v>
      </c>
      <c r="K57" s="9">
        <v>2909000</v>
      </c>
      <c r="L57" s="4">
        <v>2210000</v>
      </c>
      <c r="M57" s="6">
        <v>-2210000</v>
      </c>
      <c r="N57" s="6">
        <f t="shared" si="4"/>
        <v>699000</v>
      </c>
      <c r="O57" s="4">
        <v>9000</v>
      </c>
      <c r="P57" s="4">
        <f t="shared" si="1"/>
        <v>699000</v>
      </c>
      <c r="Q57" s="5">
        <v>41.72</v>
      </c>
      <c r="R57" s="6">
        <f t="shared" si="2"/>
        <v>24.397660818713451</v>
      </c>
      <c r="S57" s="27">
        <f t="shared" si="8"/>
        <v>3.3398366456135711E-2</v>
      </c>
      <c r="T57" s="27" t="s">
        <v>239</v>
      </c>
      <c r="U57" s="4"/>
      <c r="V57" s="4"/>
    </row>
    <row r="58" spans="1:22" s="6" customFormat="1" ht="17">
      <c r="A58" s="6" t="s">
        <v>54</v>
      </c>
      <c r="B58" s="6">
        <v>2018</v>
      </c>
      <c r="C58" s="9">
        <v>19566000</v>
      </c>
      <c r="D58" s="9">
        <f t="shared" ref="D58:D62" si="9">C58-E58</f>
        <v>10380000</v>
      </c>
      <c r="E58" s="4">
        <v>9186000</v>
      </c>
      <c r="F58" s="4">
        <v>10734000</v>
      </c>
      <c r="G58" s="4">
        <v>9814000</v>
      </c>
      <c r="H58" s="3">
        <f t="shared" si="6"/>
        <v>920000</v>
      </c>
      <c r="I58" s="3">
        <v>3064000</v>
      </c>
      <c r="J58" s="13">
        <v>1.53</v>
      </c>
      <c r="K58" s="9">
        <v>2228000</v>
      </c>
      <c r="L58" s="4">
        <v>1493000</v>
      </c>
      <c r="M58" s="6">
        <v>-1493000</v>
      </c>
      <c r="N58" s="6">
        <f t="shared" si="4"/>
        <v>735000</v>
      </c>
      <c r="O58" s="4">
        <v>-4386000</v>
      </c>
      <c r="P58" s="4">
        <f t="shared" si="1"/>
        <v>735000</v>
      </c>
      <c r="Q58" s="5">
        <v>31.79</v>
      </c>
      <c r="R58" s="6">
        <f t="shared" si="2"/>
        <v>20.777777777777779</v>
      </c>
      <c r="S58" s="27">
        <f t="shared" si="8"/>
        <v>0.15659818051722377</v>
      </c>
      <c r="T58" s="27" t="s">
        <v>239</v>
      </c>
      <c r="U58" s="4"/>
      <c r="V58" s="4"/>
    </row>
    <row r="59" spans="1:22" s="6" customFormat="1" ht="17">
      <c r="A59" s="6" t="s">
        <v>54</v>
      </c>
      <c r="B59" s="6">
        <v>2019</v>
      </c>
      <c r="C59" s="9">
        <v>13717000</v>
      </c>
      <c r="D59" s="9">
        <f t="shared" si="9"/>
        <v>7915000</v>
      </c>
      <c r="E59" s="4">
        <v>5802000</v>
      </c>
      <c r="F59" s="4">
        <v>6220000</v>
      </c>
      <c r="G59" s="4">
        <v>6329000</v>
      </c>
      <c r="H59" s="3">
        <f t="shared" si="6"/>
        <v>-109000</v>
      </c>
      <c r="I59" s="3">
        <v>-353000</v>
      </c>
      <c r="J59" s="13">
        <v>0.89</v>
      </c>
      <c r="K59" s="9">
        <v>2043000</v>
      </c>
      <c r="L59" s="4">
        <v>-1551000</v>
      </c>
      <c r="M59" s="6">
        <v>-1551000</v>
      </c>
      <c r="N59" s="6">
        <f>K59+M59</f>
        <v>492000</v>
      </c>
      <c r="O59" s="4">
        <v>-2061000</v>
      </c>
      <c r="P59" s="4">
        <f t="shared" si="1"/>
        <v>3594000</v>
      </c>
      <c r="Q59" s="5">
        <v>31.556000000000001</v>
      </c>
      <c r="R59" s="6">
        <f t="shared" si="2"/>
        <v>35.456179775280901</v>
      </c>
      <c r="S59" s="27">
        <f t="shared" si="8"/>
        <v>-2.57344900488445E-2</v>
      </c>
      <c r="T59" s="27" t="s">
        <v>239</v>
      </c>
      <c r="U59" s="4"/>
      <c r="V59" s="4"/>
    </row>
    <row r="60" spans="1:22" s="6" customFormat="1" ht="17">
      <c r="A60" s="6" t="s">
        <v>54</v>
      </c>
      <c r="B60" s="6">
        <v>2020</v>
      </c>
      <c r="C60" s="9">
        <v>9912000</v>
      </c>
      <c r="D60" s="9">
        <f t="shared" si="9"/>
        <v>6893000</v>
      </c>
      <c r="E60" s="4">
        <v>3019000</v>
      </c>
      <c r="F60" s="4">
        <v>4828000</v>
      </c>
      <c r="G60" s="4">
        <v>7918000</v>
      </c>
      <c r="H60" s="3">
        <f t="shared" si="6"/>
        <v>-3090000</v>
      </c>
      <c r="I60" s="3">
        <v>-2680000</v>
      </c>
      <c r="J60" s="13">
        <v>-7.12</v>
      </c>
      <c r="K60" s="9">
        <v>1464000</v>
      </c>
      <c r="L60" s="4"/>
      <c r="M60" s="6">
        <v>-1127000</v>
      </c>
      <c r="N60" s="6">
        <f t="shared" si="4"/>
        <v>337000</v>
      </c>
      <c r="O60" s="4">
        <v>-306000</v>
      </c>
      <c r="P60" s="4">
        <f t="shared" si="1"/>
        <v>1464000</v>
      </c>
      <c r="Q60" s="5">
        <v>6.91</v>
      </c>
      <c r="R60" s="6">
        <f t="shared" si="2"/>
        <v>-0.9705056179775281</v>
      </c>
      <c r="S60" s="27">
        <f t="shared" si="8"/>
        <v>-0.27037933817594834</v>
      </c>
      <c r="T60" s="27" t="s">
        <v>239</v>
      </c>
      <c r="U60" s="4"/>
      <c r="V60" s="4"/>
    </row>
    <row r="61" spans="1:22" s="6" customFormat="1" ht="17">
      <c r="A61" s="6" t="s">
        <v>54</v>
      </c>
      <c r="B61" s="6">
        <v>2021</v>
      </c>
      <c r="C61" s="9">
        <v>21025000</v>
      </c>
      <c r="D61" s="9">
        <f t="shared" si="9"/>
        <v>11626000</v>
      </c>
      <c r="E61" s="4">
        <v>9399000</v>
      </c>
      <c r="F61" s="4">
        <v>12206000</v>
      </c>
      <c r="G61" s="4">
        <v>9308000</v>
      </c>
      <c r="H61" s="3">
        <f t="shared" si="6"/>
        <v>2898000</v>
      </c>
      <c r="I61" s="3">
        <v>2813000</v>
      </c>
      <c r="J61" s="13">
        <v>4.2</v>
      </c>
      <c r="K61" s="9">
        <v>4899000</v>
      </c>
      <c r="L61" s="4"/>
      <c r="M61" s="6">
        <v>-1574000</v>
      </c>
      <c r="N61" s="6">
        <f t="shared" si="4"/>
        <v>3325000</v>
      </c>
      <c r="O61" s="4">
        <v>-3292000</v>
      </c>
      <c r="P61" s="4">
        <f t="shared" si="1"/>
        <v>4899000</v>
      </c>
      <c r="Q61" s="5">
        <v>21.85</v>
      </c>
      <c r="R61" s="6">
        <f t="shared" si="2"/>
        <v>5.2023809523809526</v>
      </c>
      <c r="S61" s="27">
        <f t="shared" si="8"/>
        <v>0.13379310344827586</v>
      </c>
      <c r="T61" s="27" t="s">
        <v>239</v>
      </c>
      <c r="U61" s="4"/>
      <c r="V61" s="4"/>
    </row>
    <row r="62" spans="1:22" s="6" customFormat="1" ht="17">
      <c r="A62" s="6" t="s">
        <v>54</v>
      </c>
      <c r="B62" s="6">
        <v>2022</v>
      </c>
      <c r="C62" s="9">
        <v>23721000</v>
      </c>
      <c r="D62" s="9">
        <f t="shared" si="9"/>
        <v>12425000</v>
      </c>
      <c r="E62" s="4">
        <v>11296000</v>
      </c>
      <c r="F62" s="4">
        <v>19169000</v>
      </c>
      <c r="G62" s="4">
        <v>11394000</v>
      </c>
      <c r="H62" s="3">
        <f t="shared" si="6"/>
        <v>7775000</v>
      </c>
      <c r="I62" s="3">
        <v>6015000</v>
      </c>
      <c r="J62" s="13">
        <v>9.15</v>
      </c>
      <c r="K62" s="9">
        <v>8530000</v>
      </c>
      <c r="L62" s="4"/>
      <c r="M62" s="6">
        <v>-5123000</v>
      </c>
      <c r="N62" s="6">
        <f t="shared" si="4"/>
        <v>3407000</v>
      </c>
      <c r="O62" s="4">
        <v>-4213000</v>
      </c>
      <c r="P62" s="4">
        <f t="shared" si="1"/>
        <v>8530000</v>
      </c>
      <c r="Q62" s="5">
        <v>59.13</v>
      </c>
      <c r="R62" s="6">
        <f t="shared" si="2"/>
        <v>6.4622950819672136</v>
      </c>
      <c r="S62" s="27">
        <f t="shared" si="8"/>
        <v>0.25357278360945995</v>
      </c>
      <c r="T62" s="27" t="s">
        <v>239</v>
      </c>
      <c r="U62" s="4"/>
      <c r="V62" s="4"/>
    </row>
    <row r="63" spans="1:22" s="6" customFormat="1" ht="17">
      <c r="A63" s="6" t="s">
        <v>61</v>
      </c>
      <c r="B63" s="6">
        <v>2020</v>
      </c>
      <c r="C63" s="9">
        <v>17619000</v>
      </c>
      <c r="D63" s="9">
        <v>1236000</v>
      </c>
      <c r="E63" s="4">
        <f t="shared" si="5"/>
        <v>16383000</v>
      </c>
      <c r="F63" s="4">
        <v>2813000</v>
      </c>
      <c r="G63" s="4">
        <v>8289000</v>
      </c>
      <c r="H63" s="3">
        <f t="shared" si="6"/>
        <v>-5476000</v>
      </c>
      <c r="I63" s="3">
        <v>-4672000</v>
      </c>
      <c r="J63" s="13">
        <v>-28.59</v>
      </c>
      <c r="K63" s="9">
        <v>2118000</v>
      </c>
      <c r="L63" s="4"/>
      <c r="M63" s="6">
        <v>-2101000</v>
      </c>
      <c r="N63" s="6">
        <f t="shared" si="4"/>
        <v>17000</v>
      </c>
      <c r="O63" s="4">
        <v>-37000</v>
      </c>
      <c r="P63" s="4">
        <f t="shared" si="1"/>
        <v>2118000</v>
      </c>
      <c r="Q63" s="5">
        <v>26.2</v>
      </c>
      <c r="R63" s="6">
        <f t="shared" si="2"/>
        <v>-0.91640433718083247</v>
      </c>
      <c r="S63" s="27">
        <f t="shared" si="8"/>
        <v>-0.26516828423860606</v>
      </c>
      <c r="T63" s="27" t="s">
        <v>239</v>
      </c>
      <c r="U63" s="4"/>
      <c r="V63" s="4"/>
    </row>
    <row r="64" spans="1:22" s="6" customFormat="1" ht="17">
      <c r="A64" s="6" t="s">
        <v>61</v>
      </c>
      <c r="B64" s="6">
        <v>2021</v>
      </c>
      <c r="C64" s="9">
        <v>22898000</v>
      </c>
      <c r="D64" s="9">
        <v>9653000</v>
      </c>
      <c r="E64" s="4">
        <f t="shared" si="5"/>
        <v>13245000</v>
      </c>
      <c r="F64" s="4">
        <v>6797000</v>
      </c>
      <c r="G64" s="4">
        <v>2796000</v>
      </c>
      <c r="H64" s="3">
        <f t="shared" si="6"/>
        <v>4001000</v>
      </c>
      <c r="I64" s="3">
        <v>2276000</v>
      </c>
      <c r="J64" s="13">
        <v>12.35</v>
      </c>
      <c r="K64" s="9">
        <v>3944000</v>
      </c>
      <c r="L64" s="4"/>
      <c r="M64" s="6">
        <v>-1539000</v>
      </c>
      <c r="N64" s="6">
        <f t="shared" si="4"/>
        <v>2405000</v>
      </c>
      <c r="O64" s="4">
        <v>-1841000</v>
      </c>
      <c r="P64" s="4">
        <f t="shared" si="1"/>
        <v>3944000</v>
      </c>
      <c r="Q64" s="5">
        <v>73.489999999999995</v>
      </c>
      <c r="R64" s="6">
        <f t="shared" si="2"/>
        <v>5.950607287449392</v>
      </c>
      <c r="S64" s="27">
        <f t="shared" si="8"/>
        <v>9.9397327277491482E-2</v>
      </c>
      <c r="T64" s="27" t="s">
        <v>239</v>
      </c>
      <c r="U64" s="4"/>
      <c r="V64" s="4"/>
    </row>
    <row r="65" spans="1:22" s="6" customFormat="1" ht="17">
      <c r="A65" s="6" t="s">
        <v>61</v>
      </c>
      <c r="B65" s="6">
        <v>2022</v>
      </c>
      <c r="C65" s="9">
        <v>26209000</v>
      </c>
      <c r="D65" s="9">
        <v>10519000</v>
      </c>
      <c r="E65" s="4">
        <f t="shared" si="5"/>
        <v>15690000</v>
      </c>
      <c r="F65" s="4">
        <v>9643000</v>
      </c>
      <c r="G65" s="4">
        <v>3135000</v>
      </c>
      <c r="H65" s="3">
        <f t="shared" si="6"/>
        <v>6508000</v>
      </c>
      <c r="I65" s="3">
        <v>4562000</v>
      </c>
      <c r="J65" s="13">
        <v>24.61</v>
      </c>
      <c r="K65" s="9">
        <v>6325000</v>
      </c>
      <c r="L65" s="4"/>
      <c r="M65" s="6">
        <v>-3330000</v>
      </c>
      <c r="N65" s="6">
        <f t="shared" si="4"/>
        <v>2995000</v>
      </c>
      <c r="O65" s="4">
        <v>-3503</v>
      </c>
      <c r="P65" s="4">
        <f t="shared" si="1"/>
        <v>6325000</v>
      </c>
      <c r="Q65" s="5">
        <v>137.08000000000001</v>
      </c>
      <c r="R65" s="6">
        <f t="shared" si="2"/>
        <v>5.5700934579439263</v>
      </c>
      <c r="S65" s="27">
        <f t="shared" si="8"/>
        <v>0.17406234499599374</v>
      </c>
      <c r="T65" s="27" t="s">
        <v>239</v>
      </c>
      <c r="U65" s="4"/>
      <c r="V65" s="4"/>
    </row>
    <row r="66" spans="1:22" s="6" customFormat="1" ht="17">
      <c r="A66" s="6" t="s">
        <v>65</v>
      </c>
      <c r="B66" s="6">
        <v>2015</v>
      </c>
      <c r="C66" s="9">
        <v>46487</v>
      </c>
      <c r="D66" s="9">
        <v>55304</v>
      </c>
      <c r="E66" s="4">
        <f t="shared" si="5"/>
        <v>-8817</v>
      </c>
      <c r="F66" s="4">
        <v>6304</v>
      </c>
      <c r="G66" s="4">
        <v>4251</v>
      </c>
      <c r="H66" s="3">
        <f t="shared" si="6"/>
        <v>2053</v>
      </c>
      <c r="I66" s="3">
        <v>-396</v>
      </c>
      <c r="J66" s="13">
        <v>0.01</v>
      </c>
      <c r="K66" s="9">
        <v>-3931</v>
      </c>
      <c r="L66" s="4"/>
      <c r="M66" s="6">
        <v>-3649</v>
      </c>
      <c r="N66" s="6">
        <f t="shared" si="4"/>
        <v>-7580</v>
      </c>
      <c r="O66" s="4">
        <v>7636</v>
      </c>
      <c r="P66" s="4">
        <f t="shared" ref="P66:P129" si="10">K66-L66</f>
        <v>-3931</v>
      </c>
      <c r="Q66" s="5">
        <v>0</v>
      </c>
      <c r="R66" s="6">
        <f t="shared" ref="R66:R129" si="11">Q66/J66</f>
        <v>0</v>
      </c>
      <c r="S66" s="27">
        <f t="shared" si="8"/>
        <v>-8.5185105513369327E-3</v>
      </c>
      <c r="T66" s="27" t="s">
        <v>239</v>
      </c>
      <c r="U66" s="4"/>
      <c r="V66" s="4"/>
    </row>
    <row r="67" spans="1:22" s="6" customFormat="1" ht="17">
      <c r="A67" s="6" t="s">
        <v>65</v>
      </c>
      <c r="B67" s="6">
        <v>2016</v>
      </c>
      <c r="C67" s="9">
        <v>85875</v>
      </c>
      <c r="D67" s="9">
        <v>76713</v>
      </c>
      <c r="E67" s="4">
        <f t="shared" si="5"/>
        <v>9162</v>
      </c>
      <c r="F67" s="4">
        <v>18279</v>
      </c>
      <c r="G67" s="4">
        <v>12767</v>
      </c>
      <c r="H67" s="3">
        <f t="shared" si="6"/>
        <v>5512</v>
      </c>
      <c r="I67" s="3">
        <v>18583</v>
      </c>
      <c r="J67" s="13">
        <v>0.42</v>
      </c>
      <c r="K67" s="9">
        <v>5129</v>
      </c>
      <c r="L67" s="4"/>
      <c r="M67" s="6">
        <v>-9209</v>
      </c>
      <c r="N67" s="6">
        <f t="shared" ref="N67:N130" si="12">K67+M67</f>
        <v>-4080</v>
      </c>
      <c r="O67" s="4">
        <v>4214</v>
      </c>
      <c r="P67" s="4">
        <f t="shared" si="10"/>
        <v>5129</v>
      </c>
      <c r="Q67" s="5">
        <v>0</v>
      </c>
      <c r="R67" s="6">
        <f t="shared" si="11"/>
        <v>0</v>
      </c>
      <c r="S67" s="27">
        <f t="shared" si="8"/>
        <v>0.21639592430858806</v>
      </c>
      <c r="T67" s="27" t="s">
        <v>239</v>
      </c>
      <c r="U67" s="4"/>
      <c r="V67" s="4"/>
    </row>
    <row r="68" spans="1:22" s="6" customFormat="1" ht="17">
      <c r="A68" s="6" t="s">
        <v>65</v>
      </c>
      <c r="B68" s="6">
        <v>2017</v>
      </c>
      <c r="C68" s="9">
        <v>228683</v>
      </c>
      <c r="D68" s="9">
        <v>139024</v>
      </c>
      <c r="E68" s="4">
        <f t="shared" si="5"/>
        <v>89659</v>
      </c>
      <c r="F68" s="4">
        <v>41777</v>
      </c>
      <c r="G68" s="4">
        <v>20908</v>
      </c>
      <c r="H68" s="3">
        <f t="shared" si="6"/>
        <v>20869</v>
      </c>
      <c r="I68" s="3">
        <v>9230</v>
      </c>
      <c r="J68" s="13">
        <v>7.0000000000000007E-2</v>
      </c>
      <c r="K68" s="9">
        <v>6922</v>
      </c>
      <c r="L68" s="4"/>
      <c r="M68" s="6">
        <v>-93091</v>
      </c>
      <c r="N68" s="6">
        <f t="shared" si="12"/>
        <v>-86169</v>
      </c>
      <c r="O68" s="4">
        <v>101113</v>
      </c>
      <c r="P68" s="4">
        <f t="shared" si="10"/>
        <v>6922</v>
      </c>
      <c r="Q68" s="5">
        <v>0</v>
      </c>
      <c r="R68" s="6">
        <f t="shared" si="11"/>
        <v>0</v>
      </c>
      <c r="S68" s="27">
        <f t="shared" si="8"/>
        <v>4.0361548519129098E-2</v>
      </c>
      <c r="T68" s="27" t="s">
        <v>239</v>
      </c>
      <c r="U68" s="4"/>
      <c r="V68" s="4"/>
    </row>
    <row r="69" spans="1:22" s="6" customFormat="1" ht="17">
      <c r="A69" s="6" t="s">
        <v>65</v>
      </c>
      <c r="B69" s="6">
        <v>2018</v>
      </c>
      <c r="C69" s="9">
        <v>1556972</v>
      </c>
      <c r="D69" s="9">
        <v>808109</v>
      </c>
      <c r="E69" s="4">
        <f t="shared" si="5"/>
        <v>748863</v>
      </c>
      <c r="F69" s="4">
        <v>289769</v>
      </c>
      <c r="G69" s="4">
        <v>107793</v>
      </c>
      <c r="H69" s="3">
        <f t="shared" si="6"/>
        <v>181976</v>
      </c>
      <c r="I69" s="3">
        <v>201120</v>
      </c>
      <c r="J69" s="13">
        <v>0.52</v>
      </c>
      <c r="K69" s="9">
        <v>87735</v>
      </c>
      <c r="L69" s="4"/>
      <c r="M69" s="6">
        <v>-766849</v>
      </c>
      <c r="N69" s="6">
        <f t="shared" si="12"/>
        <v>-679114</v>
      </c>
      <c r="O69" s="4">
        <v>665318</v>
      </c>
      <c r="P69" s="4">
        <f t="shared" si="10"/>
        <v>87735</v>
      </c>
      <c r="Q69" s="5">
        <v>0</v>
      </c>
      <c r="R69" s="6">
        <f t="shared" si="11"/>
        <v>0</v>
      </c>
      <c r="S69" s="27">
        <f t="shared" si="8"/>
        <v>0.12917380659382444</v>
      </c>
      <c r="T69" s="27" t="s">
        <v>239</v>
      </c>
      <c r="U69" s="4"/>
      <c r="V69" s="4"/>
    </row>
    <row r="70" spans="1:22" s="6" customFormat="1" ht="17">
      <c r="A70" s="6" t="s">
        <v>65</v>
      </c>
      <c r="B70" s="6">
        <v>2019</v>
      </c>
      <c r="C70" s="9">
        <v>2005940</v>
      </c>
      <c r="D70" s="9">
        <v>1067805</v>
      </c>
      <c r="E70" s="4">
        <f t="shared" ref="E70:E133" si="13">C70-D70</f>
        <v>938135</v>
      </c>
      <c r="F70" s="4">
        <v>462256</v>
      </c>
      <c r="G70" s="4">
        <v>202385</v>
      </c>
      <c r="H70" s="3">
        <f t="shared" si="6"/>
        <v>259871</v>
      </c>
      <c r="I70" s="3">
        <v>99400</v>
      </c>
      <c r="J70" s="13">
        <v>0.15</v>
      </c>
      <c r="K70" s="9">
        <v>279156</v>
      </c>
      <c r="L70" s="4"/>
      <c r="M70" s="6">
        <v>-466887</v>
      </c>
      <c r="N70" s="6">
        <f t="shared" si="12"/>
        <v>-187731</v>
      </c>
      <c r="O70" s="4">
        <v>188020</v>
      </c>
      <c r="P70" s="4">
        <f t="shared" si="10"/>
        <v>279156</v>
      </c>
      <c r="Q70" s="5">
        <v>1.5</v>
      </c>
      <c r="R70" s="6">
        <f t="shared" si="11"/>
        <v>10</v>
      </c>
      <c r="S70" s="27">
        <f t="shared" si="8"/>
        <v>4.9552828100541395E-2</v>
      </c>
      <c r="T70" s="27" t="s">
        <v>239</v>
      </c>
      <c r="U70" s="4"/>
      <c r="V70" s="4"/>
    </row>
    <row r="71" spans="1:22" s="6" customFormat="1" ht="17">
      <c r="A71" s="6" t="s">
        <v>65</v>
      </c>
      <c r="B71" s="6">
        <v>2020</v>
      </c>
      <c r="C71" s="9">
        <v>2290682</v>
      </c>
      <c r="D71" s="9">
        <v>1404024</v>
      </c>
      <c r="E71" s="4">
        <f t="shared" si="13"/>
        <v>886658</v>
      </c>
      <c r="F71" s="4">
        <v>408693</v>
      </c>
      <c r="G71" s="4">
        <v>203963</v>
      </c>
      <c r="H71" s="3">
        <f t="shared" si="6"/>
        <v>204730</v>
      </c>
      <c r="I71" s="3">
        <v>-23502</v>
      </c>
      <c r="J71" s="13">
        <v>-0.03</v>
      </c>
      <c r="K71" s="9">
        <v>241710</v>
      </c>
      <c r="L71" s="4"/>
      <c r="M71" s="6">
        <v>-256863</v>
      </c>
      <c r="N71" s="6">
        <f t="shared" si="12"/>
        <v>-15153</v>
      </c>
      <c r="O71" s="4">
        <v>14871</v>
      </c>
      <c r="P71" s="4">
        <f t="shared" si="10"/>
        <v>241710</v>
      </c>
      <c r="Q71" s="5">
        <v>0.89</v>
      </c>
      <c r="R71" s="6">
        <f>Q71/J71</f>
        <v>-29.666666666666668</v>
      </c>
      <c r="S71" s="27">
        <f t="shared" si="8"/>
        <v>-1.025982654947304E-2</v>
      </c>
      <c r="T71" s="27" t="s">
        <v>239</v>
      </c>
      <c r="U71" s="4"/>
      <c r="V71" s="4"/>
    </row>
    <row r="72" spans="1:22" s="6" customFormat="1" ht="17">
      <c r="A72" s="6" t="s">
        <v>65</v>
      </c>
      <c r="B72" s="6">
        <v>2021</v>
      </c>
      <c r="C72" s="9">
        <v>3494209</v>
      </c>
      <c r="D72" s="9">
        <v>2830259</v>
      </c>
      <c r="E72" s="4">
        <f t="shared" si="13"/>
        <v>663950</v>
      </c>
      <c r="F72" s="4">
        <v>1007561</v>
      </c>
      <c r="G72" s="4">
        <v>291213</v>
      </c>
      <c r="H72" s="3">
        <f t="shared" ref="H72:H135" si="14">F72-G72</f>
        <v>716348</v>
      </c>
      <c r="I72" s="3">
        <v>-325206</v>
      </c>
      <c r="J72" s="13">
        <v>-0.41</v>
      </c>
      <c r="K72" s="9">
        <v>320182</v>
      </c>
      <c r="L72" s="4"/>
      <c r="M72" s="6">
        <v>-625874</v>
      </c>
      <c r="N72" s="6">
        <f t="shared" si="12"/>
        <v>-305692</v>
      </c>
      <c r="O72" s="4">
        <v>316871</v>
      </c>
      <c r="P72" s="4">
        <f t="shared" si="10"/>
        <v>320182</v>
      </c>
      <c r="Q72" s="5">
        <v>1.64</v>
      </c>
      <c r="R72" s="6">
        <f>Q72/J72</f>
        <v>-4</v>
      </c>
      <c r="S72" s="27">
        <f t="shared" si="8"/>
        <v>-9.3069990947879766E-2</v>
      </c>
      <c r="T72" s="27" t="s">
        <v>239</v>
      </c>
      <c r="U72" s="4"/>
      <c r="V72" s="4"/>
    </row>
    <row r="73" spans="1:22" s="6" customFormat="1" ht="17">
      <c r="A73" s="6" t="s">
        <v>65</v>
      </c>
      <c r="B73" s="6">
        <v>2022</v>
      </c>
      <c r="C73" s="9">
        <v>3830928</v>
      </c>
      <c r="D73" s="9">
        <v>3968652</v>
      </c>
      <c r="E73" s="4">
        <f t="shared" si="13"/>
        <v>-137724</v>
      </c>
      <c r="F73" s="4">
        <v>1919349</v>
      </c>
      <c r="G73" s="4">
        <v>-445893</v>
      </c>
      <c r="H73" s="3">
        <f t="shared" si="14"/>
        <v>2365242</v>
      </c>
      <c r="I73" s="3">
        <v>-620598</v>
      </c>
      <c r="J73" s="13">
        <v>-0.74</v>
      </c>
      <c r="K73" s="9">
        <v>387764</v>
      </c>
      <c r="L73" s="4"/>
      <c r="M73" s="6">
        <v>-386457</v>
      </c>
      <c r="N73" s="6">
        <f t="shared" si="12"/>
        <v>1307</v>
      </c>
      <c r="O73" s="4">
        <v>-6536</v>
      </c>
      <c r="P73" s="4">
        <f t="shared" si="10"/>
        <v>387764</v>
      </c>
      <c r="Q73" s="5">
        <v>1.58</v>
      </c>
      <c r="R73" s="6">
        <f t="shared" si="11"/>
        <v>-2.1351351351351351</v>
      </c>
      <c r="S73" s="27">
        <f t="shared" si="8"/>
        <v>-0.16199677989249603</v>
      </c>
      <c r="T73" s="27" t="s">
        <v>239</v>
      </c>
      <c r="U73" s="4"/>
      <c r="V73" s="4"/>
    </row>
    <row r="74" spans="1:22" s="6" customFormat="1" ht="17">
      <c r="A74" s="6" t="s">
        <v>74</v>
      </c>
      <c r="B74" s="6">
        <v>2012</v>
      </c>
      <c r="C74" s="9">
        <v>5412162</v>
      </c>
      <c r="D74" s="9">
        <v>2362608</v>
      </c>
      <c r="E74" s="4">
        <f t="shared" si="13"/>
        <v>3049554</v>
      </c>
      <c r="F74" s="4">
        <v>1188706</v>
      </c>
      <c r="G74" s="4">
        <v>1405673</v>
      </c>
      <c r="H74" s="3">
        <f t="shared" si="14"/>
        <v>-216967</v>
      </c>
      <c r="I74" s="3">
        <v>-310722</v>
      </c>
      <c r="J74" s="13">
        <v>-0.8</v>
      </c>
      <c r="K74" s="9">
        <v>535077</v>
      </c>
      <c r="L74" s="4"/>
      <c r="M74" s="6">
        <v>-747604</v>
      </c>
      <c r="N74" s="6">
        <f t="shared" si="12"/>
        <v>-212527</v>
      </c>
      <c r="O74" s="4">
        <v>210468</v>
      </c>
      <c r="P74" s="4">
        <f t="shared" si="10"/>
        <v>535077</v>
      </c>
      <c r="Q74" s="5">
        <v>22.42</v>
      </c>
      <c r="R74" s="6">
        <f t="shared" si="11"/>
        <v>-28.025000000000002</v>
      </c>
      <c r="S74" s="27">
        <f t="shared" si="8"/>
        <v>-5.7411806963649649E-2</v>
      </c>
      <c r="T74" s="27" t="s">
        <v>239</v>
      </c>
      <c r="U74" s="4"/>
      <c r="V74" s="4"/>
    </row>
    <row r="75" spans="1:22" s="6" customFormat="1" ht="17">
      <c r="A75" s="6" t="s">
        <v>74</v>
      </c>
      <c r="B75" s="6">
        <v>2013</v>
      </c>
      <c r="C75" s="9">
        <v>3681799</v>
      </c>
      <c r="D75" s="9">
        <v>1749497</v>
      </c>
      <c r="E75" s="4">
        <f t="shared" si="13"/>
        <v>1932302</v>
      </c>
      <c r="F75" s="4">
        <v>1310602</v>
      </c>
      <c r="G75" s="4">
        <v>1223984</v>
      </c>
      <c r="H75" s="3">
        <f t="shared" si="14"/>
        <v>86618</v>
      </c>
      <c r="I75" s="3">
        <v>127664</v>
      </c>
      <c r="J75" s="13">
        <v>0.24</v>
      </c>
      <c r="K75" s="9">
        <v>766478</v>
      </c>
      <c r="L75" s="4"/>
      <c r="M75" s="6">
        <v>-265644</v>
      </c>
      <c r="N75" s="6">
        <f t="shared" si="12"/>
        <v>500834</v>
      </c>
      <c r="O75" s="4">
        <v>-504521</v>
      </c>
      <c r="P75" s="4">
        <f t="shared" si="10"/>
        <v>766478</v>
      </c>
      <c r="Q75" s="5">
        <v>14.61</v>
      </c>
      <c r="R75" s="6">
        <f t="shared" si="11"/>
        <v>60.875</v>
      </c>
      <c r="S75" s="27">
        <f t="shared" si="8"/>
        <v>3.4674353488607063E-2</v>
      </c>
      <c r="T75" s="27" t="s">
        <v>239</v>
      </c>
      <c r="U75" s="4"/>
      <c r="V75" s="4"/>
    </row>
    <row r="76" spans="1:22" s="6" customFormat="1" ht="17">
      <c r="A76" s="6" t="s">
        <v>74</v>
      </c>
      <c r="B76" s="6">
        <v>2014</v>
      </c>
      <c r="C76" s="9">
        <v>4082297</v>
      </c>
      <c r="D76" s="9">
        <v>1859171</v>
      </c>
      <c r="E76" s="4">
        <f t="shared" si="13"/>
        <v>2223126</v>
      </c>
      <c r="F76" s="4">
        <v>1760567</v>
      </c>
      <c r="G76" s="4">
        <v>1323663</v>
      </c>
      <c r="H76" s="3">
        <f t="shared" si="14"/>
        <v>436904</v>
      </c>
      <c r="I76" s="3">
        <v>445251</v>
      </c>
      <c r="J76" s="13">
        <v>1.46</v>
      </c>
      <c r="K76" s="9">
        <v>787197</v>
      </c>
      <c r="L76" s="4"/>
      <c r="M76" s="6">
        <v>-637032</v>
      </c>
      <c r="N76" s="6">
        <f t="shared" si="12"/>
        <v>150165</v>
      </c>
      <c r="O76" s="4">
        <v>-154095</v>
      </c>
      <c r="P76" s="4">
        <f t="shared" si="10"/>
        <v>787197</v>
      </c>
      <c r="Q76" s="5">
        <v>20.03</v>
      </c>
      <c r="R76" s="6">
        <f t="shared" si="11"/>
        <v>13.719178082191782</v>
      </c>
      <c r="S76" s="27">
        <f t="shared" si="8"/>
        <v>0.10906874242613901</v>
      </c>
      <c r="T76" s="27" t="s">
        <v>239</v>
      </c>
      <c r="U76" s="4"/>
      <c r="V76" s="4"/>
    </row>
    <row r="77" spans="1:22" s="6" customFormat="1" ht="17">
      <c r="A77" s="6" t="s">
        <v>74</v>
      </c>
      <c r="B77" s="6">
        <v>2015</v>
      </c>
      <c r="C77" s="9">
        <v>2581234</v>
      </c>
      <c r="D77" s="9">
        <v>1683480</v>
      </c>
      <c r="E77" s="4">
        <f t="shared" si="13"/>
        <v>897754</v>
      </c>
      <c r="F77" s="4">
        <v>884392</v>
      </c>
      <c r="G77" s="4">
        <v>2717994</v>
      </c>
      <c r="H77" s="3">
        <f t="shared" si="14"/>
        <v>-1833602</v>
      </c>
      <c r="I77" s="3">
        <v>-1216209</v>
      </c>
      <c r="J77" s="13">
        <v>-7.39</v>
      </c>
      <c r="K77" s="9">
        <v>465336</v>
      </c>
      <c r="L77" s="4"/>
      <c r="M77" s="6">
        <v>-268399</v>
      </c>
      <c r="N77" s="6">
        <f t="shared" si="12"/>
        <v>196937</v>
      </c>
      <c r="O77" s="4">
        <v>-194413</v>
      </c>
      <c r="P77" s="4">
        <f t="shared" si="10"/>
        <v>465336</v>
      </c>
      <c r="Q77" s="5">
        <v>10.14</v>
      </c>
      <c r="R77" s="6">
        <f t="shared" si="11"/>
        <v>-1.3721244925575102</v>
      </c>
      <c r="S77" s="27">
        <f t="shared" si="8"/>
        <v>-0.4711734774917733</v>
      </c>
      <c r="T77" s="27" t="s">
        <v>239</v>
      </c>
      <c r="U77" s="4"/>
      <c r="V77" s="4"/>
    </row>
    <row r="78" spans="1:22" s="6" customFormat="1" ht="17">
      <c r="A78" s="6" t="s">
        <v>74</v>
      </c>
      <c r="B78" s="6">
        <v>2016</v>
      </c>
      <c r="C78" s="9">
        <v>2638850</v>
      </c>
      <c r="D78" s="9">
        <v>1178345</v>
      </c>
      <c r="E78" s="4">
        <f t="shared" si="13"/>
        <v>1460505</v>
      </c>
      <c r="F78" s="4">
        <v>722732</v>
      </c>
      <c r="G78" s="4">
        <v>533117</v>
      </c>
      <c r="H78" s="3">
        <f t="shared" si="14"/>
        <v>189615</v>
      </c>
      <c r="I78" s="3">
        <v>348145</v>
      </c>
      <c r="J78" s="13">
        <v>1.75</v>
      </c>
      <c r="K78" s="9">
        <v>312290</v>
      </c>
      <c r="L78" s="4"/>
      <c r="M78" s="6">
        <v>284255</v>
      </c>
      <c r="N78" s="6">
        <f t="shared" si="12"/>
        <v>596545</v>
      </c>
      <c r="O78" s="4">
        <v>-210219</v>
      </c>
      <c r="P78" s="4">
        <f t="shared" si="10"/>
        <v>312290</v>
      </c>
      <c r="Q78" s="5">
        <v>3.93</v>
      </c>
      <c r="R78" s="6">
        <f t="shared" si="11"/>
        <v>2.245714285714286</v>
      </c>
      <c r="S78" s="27">
        <f t="shared" ref="S78:S109" si="15">I78/C78</f>
        <v>0.13193057581901207</v>
      </c>
      <c r="T78" s="27" t="s">
        <v>239</v>
      </c>
      <c r="U78" s="4"/>
      <c r="V78" s="4"/>
    </row>
    <row r="79" spans="1:22" s="6" customFormat="1" ht="17">
      <c r="A79" s="6" t="s">
        <v>74</v>
      </c>
      <c r="B79" s="6">
        <v>2017</v>
      </c>
      <c r="C79" s="9">
        <v>2645832</v>
      </c>
      <c r="D79" s="9">
        <v>1045063</v>
      </c>
      <c r="E79" s="4">
        <f t="shared" si="13"/>
        <v>1600769</v>
      </c>
      <c r="F79" s="4">
        <v>920693</v>
      </c>
      <c r="G79" s="4">
        <v>616017</v>
      </c>
      <c r="H79" s="3">
        <f t="shared" si="14"/>
        <v>304676</v>
      </c>
      <c r="I79" s="3">
        <v>146721</v>
      </c>
      <c r="J79" s="13">
        <v>0.98</v>
      </c>
      <c r="K79" s="9">
        <v>476125</v>
      </c>
      <c r="L79" s="4"/>
      <c r="M79" s="6">
        <v>-416232</v>
      </c>
      <c r="N79" s="6">
        <f t="shared" si="12"/>
        <v>59893</v>
      </c>
      <c r="O79" s="4">
        <v>-81373</v>
      </c>
      <c r="P79" s="4">
        <f t="shared" si="10"/>
        <v>476125</v>
      </c>
      <c r="Q79" s="5">
        <v>8.0500000000000007</v>
      </c>
      <c r="R79" s="6">
        <f t="shared" si="11"/>
        <v>8.2142857142857153</v>
      </c>
      <c r="S79" s="27">
        <f t="shared" si="15"/>
        <v>5.5453634244351117E-2</v>
      </c>
      <c r="T79" s="27" t="s">
        <v>239</v>
      </c>
      <c r="U79" s="4"/>
      <c r="V79" s="4"/>
    </row>
    <row r="80" spans="1:22" s="6" customFormat="1" ht="17">
      <c r="A80" s="6" t="s">
        <v>74</v>
      </c>
      <c r="B80" s="6">
        <v>2018</v>
      </c>
      <c r="C80" s="9">
        <v>3118300</v>
      </c>
      <c r="D80" s="9">
        <v>1117311</v>
      </c>
      <c r="E80" s="4">
        <f t="shared" si="13"/>
        <v>2000989</v>
      </c>
      <c r="F80" s="4">
        <v>1380968</v>
      </c>
      <c r="G80" s="4">
        <v>899478</v>
      </c>
      <c r="H80" s="3">
        <f t="shared" si="14"/>
        <v>481490</v>
      </c>
      <c r="I80" s="3">
        <v>378279</v>
      </c>
      <c r="J80" s="13">
        <v>1.55</v>
      </c>
      <c r="K80" s="9">
        <v>738784</v>
      </c>
      <c r="L80" s="4"/>
      <c r="M80" s="6">
        <v>-623038</v>
      </c>
      <c r="N80" s="6">
        <f t="shared" si="12"/>
        <v>115746</v>
      </c>
      <c r="O80" s="4">
        <v>738784</v>
      </c>
      <c r="P80" s="4">
        <f t="shared" si="10"/>
        <v>738784</v>
      </c>
      <c r="Q80" s="5">
        <v>11.26</v>
      </c>
      <c r="R80" s="6">
        <f t="shared" si="11"/>
        <v>7.2645161290322573</v>
      </c>
      <c r="S80" s="27">
        <f t="shared" si="15"/>
        <v>0.12130936728345573</v>
      </c>
      <c r="T80" s="27" t="s">
        <v>239</v>
      </c>
      <c r="U80" s="4"/>
      <c r="V80" s="4"/>
    </row>
    <row r="81" spans="1:22" s="6" customFormat="1" ht="17">
      <c r="A81" s="6" t="s">
        <v>74</v>
      </c>
      <c r="B81" s="6">
        <v>2019</v>
      </c>
      <c r="C81" s="9">
        <v>2565802</v>
      </c>
      <c r="D81" s="9">
        <v>1094244</v>
      </c>
      <c r="E81" s="4">
        <f t="shared" si="13"/>
        <v>1471558</v>
      </c>
      <c r="F81" s="4">
        <v>1188735</v>
      </c>
      <c r="G81" s="4">
        <v>1400594</v>
      </c>
      <c r="H81" s="3">
        <f t="shared" si="14"/>
        <v>-211859</v>
      </c>
      <c r="I81" s="3">
        <v>-259720</v>
      </c>
      <c r="J81" s="13">
        <v>-1.1200000000000001</v>
      </c>
      <c r="K81" s="9">
        <v>694240</v>
      </c>
      <c r="L81" s="4"/>
      <c r="M81" s="6">
        <v>-621789</v>
      </c>
      <c r="N81" s="6">
        <f t="shared" si="12"/>
        <v>72451</v>
      </c>
      <c r="O81" s="4">
        <v>694240</v>
      </c>
      <c r="P81" s="4">
        <f t="shared" si="10"/>
        <v>694240</v>
      </c>
      <c r="Q81" s="5">
        <v>8.41</v>
      </c>
      <c r="R81" s="6">
        <f t="shared" si="11"/>
        <v>-7.5089285714285712</v>
      </c>
      <c r="S81" s="27">
        <f t="shared" si="15"/>
        <v>-0.10122371094885732</v>
      </c>
      <c r="T81" s="27" t="s">
        <v>239</v>
      </c>
      <c r="U81" s="4"/>
      <c r="V81" s="4"/>
    </row>
    <row r="82" spans="1:22" s="6" customFormat="1" ht="17">
      <c r="A82" s="6" t="s">
        <v>74</v>
      </c>
      <c r="B82" s="6">
        <v>2020</v>
      </c>
      <c r="C82" s="9">
        <v>1466455</v>
      </c>
      <c r="D82" s="9">
        <v>930775</v>
      </c>
      <c r="E82" s="4">
        <f t="shared" si="13"/>
        <v>535680</v>
      </c>
      <c r="F82" s="4">
        <v>846024</v>
      </c>
      <c r="G82" s="4">
        <v>2030146</v>
      </c>
      <c r="H82" s="3">
        <f t="shared" si="14"/>
        <v>-1184122</v>
      </c>
      <c r="I82" s="3">
        <v>-923367</v>
      </c>
      <c r="J82" s="13">
        <v>-4.1500000000000004</v>
      </c>
      <c r="K82" s="9">
        <v>446365</v>
      </c>
      <c r="L82" s="4"/>
      <c r="M82" s="6">
        <v>-337255</v>
      </c>
      <c r="N82" s="6">
        <f t="shared" si="12"/>
        <v>109110</v>
      </c>
      <c r="O82" s="4">
        <v>446365</v>
      </c>
      <c r="P82" s="4">
        <f t="shared" si="10"/>
        <v>446365</v>
      </c>
      <c r="Q82" s="5">
        <v>1.48</v>
      </c>
      <c r="R82" s="6">
        <f t="shared" si="11"/>
        <v>-0.35662650602409635</v>
      </c>
      <c r="S82" s="27">
        <f t="shared" si="15"/>
        <v>-0.62965928037341756</v>
      </c>
      <c r="T82" s="27" t="s">
        <v>239</v>
      </c>
      <c r="U82" s="4"/>
      <c r="V82" s="4"/>
    </row>
    <row r="83" spans="1:22" s="15" customFormat="1" ht="17">
      <c r="A83" s="15" t="s">
        <v>74</v>
      </c>
      <c r="B83" s="15">
        <v>2021</v>
      </c>
      <c r="C83" s="16">
        <v>1990084</v>
      </c>
      <c r="D83" s="16">
        <v>1380774</v>
      </c>
      <c r="E83" s="17">
        <f t="shared" si="13"/>
        <v>609310</v>
      </c>
      <c r="F83" s="17">
        <v>1208143</v>
      </c>
      <c r="G83" s="17">
        <v>872258</v>
      </c>
      <c r="H83" s="18">
        <f t="shared" si="14"/>
        <v>335885</v>
      </c>
      <c r="I83" s="18">
        <v>234441</v>
      </c>
      <c r="J83" s="19">
        <v>0.93</v>
      </c>
      <c r="K83" s="16">
        <v>604839</v>
      </c>
      <c r="L83" s="17"/>
      <c r="M83" s="15">
        <v>-893516</v>
      </c>
      <c r="N83" s="15">
        <f t="shared" si="12"/>
        <v>-288677</v>
      </c>
      <c r="O83" s="17">
        <v>253101</v>
      </c>
      <c r="P83" s="17">
        <f t="shared" si="10"/>
        <v>604839</v>
      </c>
      <c r="Q83" s="20">
        <v>5.01</v>
      </c>
      <c r="R83" s="15">
        <f t="shared" si="11"/>
        <v>5.387096774193548</v>
      </c>
      <c r="S83" s="28">
        <f t="shared" si="15"/>
        <v>0.11780457508326282</v>
      </c>
      <c r="T83" s="27" t="s">
        <v>239</v>
      </c>
      <c r="U83" s="17"/>
      <c r="V83" s="17"/>
    </row>
    <row r="84" spans="1:22" s="15" customFormat="1" ht="17">
      <c r="A84" s="15" t="s">
        <v>74</v>
      </c>
      <c r="B84" s="15">
        <v>2022</v>
      </c>
      <c r="C84" s="16">
        <v>1937981</v>
      </c>
      <c r="D84" s="16">
        <v>861368</v>
      </c>
      <c r="E84" s="17">
        <f t="shared" si="13"/>
        <v>1076613</v>
      </c>
      <c r="F84" s="17">
        <v>2155688</v>
      </c>
      <c r="G84" s="17">
        <v>948090</v>
      </c>
      <c r="H84" s="18">
        <f t="shared" si="14"/>
        <v>1207598</v>
      </c>
      <c r="I84" s="18">
        <v>914302</v>
      </c>
      <c r="J84" s="19">
        <v>3.91</v>
      </c>
      <c r="K84" s="16">
        <v>1173382</v>
      </c>
      <c r="L84" s="17"/>
      <c r="M84" s="15">
        <v>-289672</v>
      </c>
      <c r="N84" s="15">
        <f t="shared" si="12"/>
        <v>883710</v>
      </c>
      <c r="O84" s="17">
        <v>-908144</v>
      </c>
      <c r="P84" s="17">
        <f t="shared" si="10"/>
        <v>1173382</v>
      </c>
      <c r="Q84" s="20">
        <v>12.7</v>
      </c>
      <c r="R84" s="15">
        <f t="shared" si="11"/>
        <v>3.2480818414322248</v>
      </c>
      <c r="S84" s="28">
        <f t="shared" si="15"/>
        <v>0.47178068309235227</v>
      </c>
      <c r="T84" s="27" t="s">
        <v>239</v>
      </c>
      <c r="U84" s="17"/>
      <c r="V84" s="17"/>
    </row>
    <row r="85" spans="1:22" s="6" customFormat="1" ht="17">
      <c r="A85" s="6" t="s">
        <v>86</v>
      </c>
      <c r="B85" s="6">
        <v>2012</v>
      </c>
      <c r="C85" s="9">
        <v>27336578</v>
      </c>
      <c r="D85" s="9">
        <f>C85-E85</f>
        <v>14051814</v>
      </c>
      <c r="E85" s="4">
        <v>13284764</v>
      </c>
      <c r="F85" s="4">
        <v>11682636</v>
      </c>
      <c r="G85" s="4">
        <v>10202839</v>
      </c>
      <c r="H85" s="3">
        <f t="shared" si="14"/>
        <v>1479797</v>
      </c>
      <c r="I85" s="3">
        <v>570279</v>
      </c>
      <c r="J85" s="13">
        <v>2.13</v>
      </c>
      <c r="K85" s="9">
        <v>5236777</v>
      </c>
      <c r="L85" s="4"/>
      <c r="M85" s="6">
        <v>-6119263</v>
      </c>
      <c r="N85" s="6">
        <f t="shared" si="12"/>
        <v>-882486</v>
      </c>
      <c r="O85" s="4">
        <v>1139751</v>
      </c>
      <c r="P85" s="4">
        <f t="shared" si="10"/>
        <v>5236777</v>
      </c>
      <c r="Q85" s="5">
        <v>55.04</v>
      </c>
      <c r="R85" s="6">
        <f t="shared" si="11"/>
        <v>25.84037558685446</v>
      </c>
      <c r="S85" s="27">
        <f t="shared" si="15"/>
        <v>2.0861389454086023E-2</v>
      </c>
      <c r="T85" s="27" t="s">
        <v>239</v>
      </c>
      <c r="U85" s="4"/>
      <c r="V85" s="4"/>
    </row>
    <row r="86" spans="1:22" s="6" customFormat="1" ht="17">
      <c r="A86" s="6" t="s">
        <v>86</v>
      </c>
      <c r="B86" s="6">
        <v>2013</v>
      </c>
      <c r="C86" s="9">
        <v>30574238</v>
      </c>
      <c r="D86" s="9">
        <f t="shared" ref="D86:D95" si="16">C86-E86</f>
        <v>15155779</v>
      </c>
      <c r="E86" s="4">
        <v>15418459</v>
      </c>
      <c r="F86" s="4">
        <v>14487118</v>
      </c>
      <c r="G86" s="4">
        <v>10811907</v>
      </c>
      <c r="H86" s="3">
        <f t="shared" si="14"/>
        <v>3675211</v>
      </c>
      <c r="I86" s="3">
        <v>2197109</v>
      </c>
      <c r="J86" s="13">
        <v>4.07</v>
      </c>
      <c r="K86" s="9">
        <v>7329414</v>
      </c>
      <c r="L86" s="4"/>
      <c r="M86" s="6">
        <v>-6314778</v>
      </c>
      <c r="N86" s="6">
        <f t="shared" si="12"/>
        <v>1014636</v>
      </c>
      <c r="O86" s="4">
        <v>-573926</v>
      </c>
      <c r="P86" s="4">
        <f t="shared" si="10"/>
        <v>7329414</v>
      </c>
      <c r="Q86" s="5">
        <v>63.45</v>
      </c>
      <c r="R86" s="6">
        <f t="shared" si="11"/>
        <v>15.58968058968059</v>
      </c>
      <c r="S86" s="27">
        <f t="shared" si="15"/>
        <v>7.186144753632126E-2</v>
      </c>
      <c r="T86" s="27" t="s">
        <v>239</v>
      </c>
      <c r="U86" s="4"/>
      <c r="V86" s="4"/>
    </row>
    <row r="87" spans="1:22" s="6" customFormat="1" ht="17">
      <c r="A87" s="6" t="s">
        <v>86</v>
      </c>
      <c r="B87" s="6">
        <v>2014</v>
      </c>
      <c r="C87" s="9">
        <v>34762687</v>
      </c>
      <c r="D87" s="9">
        <f t="shared" si="16"/>
        <v>17050105</v>
      </c>
      <c r="E87" s="4">
        <v>17712582</v>
      </c>
      <c r="F87" s="4">
        <v>18035340</v>
      </c>
      <c r="G87" s="4">
        <v>12793517</v>
      </c>
      <c r="H87" s="3">
        <f t="shared" si="14"/>
        <v>5241823</v>
      </c>
      <c r="I87" s="3">
        <v>2915487</v>
      </c>
      <c r="J87" s="13">
        <v>5.36</v>
      </c>
      <c r="K87" s="9">
        <v>8649155</v>
      </c>
      <c r="L87" s="4"/>
      <c r="M87" s="6">
        <v>-7513565</v>
      </c>
      <c r="N87" s="6">
        <f t="shared" si="12"/>
        <v>1135590</v>
      </c>
      <c r="O87" s="4">
        <v>-327734</v>
      </c>
      <c r="P87" s="4">
        <f t="shared" si="10"/>
        <v>8649155</v>
      </c>
      <c r="Q87" s="5">
        <v>48.59</v>
      </c>
      <c r="R87" s="6">
        <f t="shared" si="11"/>
        <v>9.0652985074626873</v>
      </c>
      <c r="S87" s="27">
        <f t="shared" si="15"/>
        <v>8.3868286706375722E-2</v>
      </c>
      <c r="T87" s="27" t="s">
        <v>239</v>
      </c>
      <c r="U87" s="4"/>
      <c r="V87" s="4"/>
    </row>
    <row r="88" spans="1:22" s="6" customFormat="1" ht="17">
      <c r="A88" s="6" t="s">
        <v>86</v>
      </c>
      <c r="B88" s="6">
        <v>2015</v>
      </c>
      <c r="C88" s="9">
        <v>26975244</v>
      </c>
      <c r="D88" s="9">
        <f t="shared" si="16"/>
        <v>14032209</v>
      </c>
      <c r="E88" s="4">
        <v>12943035</v>
      </c>
      <c r="F88" s="4">
        <v>8757428</v>
      </c>
      <c r="G88" s="4">
        <v>15443507</v>
      </c>
      <c r="H88" s="3">
        <f t="shared" si="14"/>
        <v>-6686079</v>
      </c>
      <c r="I88" s="3">
        <v>-4524515</v>
      </c>
      <c r="J88" s="13">
        <v>-8.2899999999999991</v>
      </c>
      <c r="K88" s="9">
        <v>3595165</v>
      </c>
      <c r="L88" s="4"/>
      <c r="M88" s="6">
        <v>-5320256</v>
      </c>
      <c r="N88" s="6">
        <f t="shared" si="12"/>
        <v>-1725091</v>
      </c>
      <c r="O88" s="4">
        <v>-370921</v>
      </c>
      <c r="P88" s="4">
        <f t="shared" si="10"/>
        <v>3595165</v>
      </c>
      <c r="Q88" s="5">
        <v>90.85</v>
      </c>
      <c r="R88" s="6">
        <f t="shared" si="11"/>
        <v>-10.958986731001207</v>
      </c>
      <c r="S88" s="27">
        <f t="shared" si="15"/>
        <v>-0.16772841795240109</v>
      </c>
      <c r="T88" s="27" t="s">
        <v>239</v>
      </c>
      <c r="U88" s="4"/>
      <c r="V88" s="4"/>
    </row>
    <row r="89" spans="1:22" s="6" customFormat="1" ht="17">
      <c r="A89" s="6" t="s">
        <v>86</v>
      </c>
      <c r="B89" s="6">
        <v>2016</v>
      </c>
      <c r="C89" s="9">
        <v>29459433</v>
      </c>
      <c r="D89" s="9">
        <f t="shared" si="16"/>
        <v>15477852</v>
      </c>
      <c r="E89" s="4">
        <v>13981581</v>
      </c>
      <c r="F89" s="4">
        <v>7650632</v>
      </c>
      <c r="G89" s="4">
        <v>8875913</v>
      </c>
      <c r="H89" s="3">
        <f t="shared" si="14"/>
        <v>-1225281</v>
      </c>
      <c r="I89" s="3">
        <v>-1096686</v>
      </c>
      <c r="J89" s="13">
        <v>-1.98</v>
      </c>
      <c r="K89" s="9">
        <v>2359063</v>
      </c>
      <c r="L89" s="4"/>
      <c r="M89" s="6">
        <v>-1252944</v>
      </c>
      <c r="N89" s="6">
        <f t="shared" si="12"/>
        <v>1106119</v>
      </c>
      <c r="O89" s="4">
        <v>-242722</v>
      </c>
      <c r="P89" s="4">
        <f t="shared" si="10"/>
        <v>2359063</v>
      </c>
      <c r="Q89" s="5">
        <v>71.92</v>
      </c>
      <c r="R89" s="6">
        <f t="shared" si="11"/>
        <v>-36.323232323232325</v>
      </c>
      <c r="S89" s="27">
        <f t="shared" si="15"/>
        <v>-3.7226989399286807E-2</v>
      </c>
      <c r="T89" s="27" t="s">
        <v>239</v>
      </c>
      <c r="U89" s="4"/>
      <c r="V89" s="4"/>
    </row>
    <row r="90" spans="1:22" s="6" customFormat="1" ht="17">
      <c r="A90" s="6" t="s">
        <v>86</v>
      </c>
      <c r="B90" s="6">
        <v>2017</v>
      </c>
      <c r="C90" s="9">
        <v>29833078</v>
      </c>
      <c r="D90" s="9">
        <f t="shared" si="16"/>
        <v>13549805</v>
      </c>
      <c r="E90" s="4">
        <v>16283273</v>
      </c>
      <c r="F90" s="4">
        <v>11208320</v>
      </c>
      <c r="G90" s="4">
        <v>10281918</v>
      </c>
      <c r="H90" s="3">
        <f t="shared" si="14"/>
        <v>926402</v>
      </c>
      <c r="I90" s="3">
        <v>2582579</v>
      </c>
      <c r="J90" s="13">
        <v>4.49</v>
      </c>
      <c r="K90" s="9">
        <v>4265336</v>
      </c>
      <c r="L90" s="4"/>
      <c r="M90" s="6">
        <v>-3987409</v>
      </c>
      <c r="N90" s="6">
        <f t="shared" si="12"/>
        <v>277927</v>
      </c>
      <c r="O90" s="4">
        <v>-1035711</v>
      </c>
      <c r="P90" s="4">
        <f t="shared" si="10"/>
        <v>4265336</v>
      </c>
      <c r="Q90" s="5">
        <v>96.66</v>
      </c>
      <c r="R90" s="6">
        <f t="shared" si="11"/>
        <v>21.527839643652559</v>
      </c>
      <c r="S90" s="27">
        <f t="shared" si="15"/>
        <v>8.6567634757633793E-2</v>
      </c>
      <c r="T90" s="27" t="s">
        <v>239</v>
      </c>
      <c r="U90" s="4"/>
      <c r="V90" s="4"/>
    </row>
    <row r="91" spans="1:22" s="6" customFormat="1" ht="17">
      <c r="A91" s="6" t="s">
        <v>86</v>
      </c>
      <c r="B91" s="6">
        <v>2018</v>
      </c>
      <c r="C91" s="9">
        <v>33934474</v>
      </c>
      <c r="D91" s="9">
        <f t="shared" si="16"/>
        <v>14570286</v>
      </c>
      <c r="E91" s="4">
        <v>19364188</v>
      </c>
      <c r="F91" s="4">
        <v>17275399</v>
      </c>
      <c r="G91" s="4">
        <v>12806053</v>
      </c>
      <c r="H91" s="3">
        <f t="shared" si="14"/>
        <v>4469346</v>
      </c>
      <c r="I91" s="3">
        <v>3419040</v>
      </c>
      <c r="J91" s="13">
        <v>5.93</v>
      </c>
      <c r="K91" s="9">
        <v>7768608</v>
      </c>
      <c r="L91" s="4"/>
      <c r="M91" s="6">
        <v>-6170162</v>
      </c>
      <c r="N91" s="6">
        <f t="shared" si="12"/>
        <v>1598446</v>
      </c>
      <c r="O91" s="4">
        <v>-839103</v>
      </c>
      <c r="P91" s="4">
        <f t="shared" si="10"/>
        <v>7768608</v>
      </c>
      <c r="Q91" s="5">
        <v>104</v>
      </c>
      <c r="R91" s="6">
        <f t="shared" si="11"/>
        <v>17.537942664418214</v>
      </c>
      <c r="S91" s="27">
        <f t="shared" si="15"/>
        <v>0.10075417700595565</v>
      </c>
      <c r="T91" s="27" t="s">
        <v>239</v>
      </c>
      <c r="U91" s="4"/>
      <c r="V91" s="4"/>
    </row>
    <row r="92" spans="1:22" s="6" customFormat="1" ht="17">
      <c r="A92" s="6" t="s">
        <v>86</v>
      </c>
      <c r="B92" s="6">
        <v>2019</v>
      </c>
      <c r="C92" s="9">
        <v>37124608</v>
      </c>
      <c r="D92" s="9">
        <f t="shared" si="16"/>
        <v>15483892</v>
      </c>
      <c r="E92" s="4">
        <v>21640716</v>
      </c>
      <c r="F92" s="4">
        <v>17379973</v>
      </c>
      <c r="G92" s="4">
        <v>13680962</v>
      </c>
      <c r="H92" s="3">
        <f t="shared" si="14"/>
        <v>3699011</v>
      </c>
      <c r="I92" s="3">
        <v>2734910</v>
      </c>
      <c r="J92" s="13">
        <v>4.7300000000000004</v>
      </c>
      <c r="K92" s="9">
        <v>8163180</v>
      </c>
      <c r="L92" s="4"/>
      <c r="M92" s="6">
        <v>-6177173</v>
      </c>
      <c r="N92" s="6">
        <f t="shared" si="12"/>
        <v>1986007</v>
      </c>
      <c r="O92" s="4">
        <v>-1513321</v>
      </c>
      <c r="P92" s="4">
        <f t="shared" si="10"/>
        <v>8163180</v>
      </c>
      <c r="Q92" s="5">
        <v>94.38</v>
      </c>
      <c r="R92" s="6">
        <f t="shared" si="11"/>
        <v>19.95348837209302</v>
      </c>
      <c r="S92" s="27">
        <f t="shared" si="15"/>
        <v>7.3668387286405831E-2</v>
      </c>
      <c r="T92" s="27" t="s">
        <v>239</v>
      </c>
      <c r="U92" s="4"/>
      <c r="V92" s="4"/>
    </row>
    <row r="93" spans="1:22" s="6" customFormat="1" ht="17">
      <c r="A93" s="6" t="s">
        <v>86</v>
      </c>
      <c r="B93" s="6">
        <v>2020</v>
      </c>
      <c r="C93" s="9">
        <v>35804601</v>
      </c>
      <c r="D93" s="9">
        <f t="shared" si="16"/>
        <v>15502714</v>
      </c>
      <c r="E93" s="4">
        <v>20301887</v>
      </c>
      <c r="F93" s="4">
        <v>11032000</v>
      </c>
      <c r="G93" s="4">
        <v>11576000</v>
      </c>
      <c r="H93" s="3">
        <f t="shared" si="14"/>
        <v>-544000</v>
      </c>
      <c r="I93" s="3">
        <v>-605000</v>
      </c>
      <c r="J93" s="13">
        <v>-1.04</v>
      </c>
      <c r="K93" s="9">
        <v>5008</v>
      </c>
      <c r="L93" s="4"/>
      <c r="M93" s="6">
        <v>-3348</v>
      </c>
      <c r="N93" s="6">
        <f t="shared" si="12"/>
        <v>1660</v>
      </c>
      <c r="O93" s="4">
        <v>-359</v>
      </c>
      <c r="P93" s="4">
        <f t="shared" si="10"/>
        <v>5008</v>
      </c>
      <c r="Q93" s="5">
        <v>35.590000000000003</v>
      </c>
      <c r="R93" s="6">
        <f t="shared" si="11"/>
        <v>-34.221153846153847</v>
      </c>
      <c r="S93" s="27">
        <f t="shared" si="15"/>
        <v>-1.6897269711230688E-2</v>
      </c>
      <c r="T93" s="27" t="s">
        <v>239</v>
      </c>
      <c r="U93" s="4"/>
      <c r="V93" s="4"/>
    </row>
    <row r="94" spans="1:22" s="6" customFormat="1" ht="17">
      <c r="A94" s="6" t="s">
        <v>86</v>
      </c>
      <c r="B94" s="6">
        <v>2021</v>
      </c>
      <c r="C94" s="9">
        <v>38236000</v>
      </c>
      <c r="D94" s="9">
        <f t="shared" si="16"/>
        <v>16056000</v>
      </c>
      <c r="E94" s="4">
        <v>22180000</v>
      </c>
      <c r="F94" s="4">
        <v>18642000</v>
      </c>
      <c r="G94" s="4">
        <v>12540000</v>
      </c>
      <c r="H94" s="3">
        <f t="shared" si="14"/>
        <v>6102000</v>
      </c>
      <c r="I94" s="3">
        <v>4664000</v>
      </c>
      <c r="J94" s="13">
        <v>8.0299999999999994</v>
      </c>
      <c r="K94" s="9">
        <v>8791</v>
      </c>
      <c r="L94" s="4"/>
      <c r="M94" s="6">
        <v>-3419</v>
      </c>
      <c r="N94" s="6">
        <f t="shared" si="12"/>
        <v>5372</v>
      </c>
      <c r="O94" s="4">
        <v>-3493</v>
      </c>
      <c r="P94" s="4">
        <f t="shared" si="10"/>
        <v>8791</v>
      </c>
      <c r="Q94" s="5">
        <v>71.87</v>
      </c>
      <c r="R94" s="6">
        <f t="shared" si="11"/>
        <v>8.9501867995018696</v>
      </c>
      <c r="S94" s="27">
        <f>I94/C94</f>
        <v>0.12197928653624857</v>
      </c>
      <c r="T94" s="27" t="s">
        <v>239</v>
      </c>
      <c r="U94" s="4"/>
      <c r="V94" s="4"/>
    </row>
    <row r="95" spans="1:22" s="6" customFormat="1" ht="17">
      <c r="A95" s="6" t="s">
        <v>86</v>
      </c>
      <c r="B95" s="6">
        <v>2022</v>
      </c>
      <c r="C95" s="9">
        <v>41371000</v>
      </c>
      <c r="D95" s="9">
        <f t="shared" si="16"/>
        <v>16592000</v>
      </c>
      <c r="E95" s="4">
        <v>24779000</v>
      </c>
      <c r="F95" s="4">
        <v>25702000</v>
      </c>
      <c r="G95" s="4">
        <v>15736000</v>
      </c>
      <c r="H95" s="3">
        <f t="shared" si="14"/>
        <v>9966000</v>
      </c>
      <c r="I95" s="3">
        <v>7759000</v>
      </c>
      <c r="J95" s="13">
        <v>13.31</v>
      </c>
      <c r="K95" s="9">
        <v>11093</v>
      </c>
      <c r="L95" s="4"/>
      <c r="M95" s="6">
        <v>-5056</v>
      </c>
      <c r="N95" s="6">
        <f t="shared" si="12"/>
        <v>6037</v>
      </c>
      <c r="O95" s="4">
        <v>-5273</v>
      </c>
      <c r="P95" s="4">
        <f t="shared" si="10"/>
        <v>11093</v>
      </c>
      <c r="Q95" s="5">
        <v>118.38</v>
      </c>
      <c r="R95" s="6">
        <f t="shared" si="11"/>
        <v>8.8940646130728762</v>
      </c>
      <c r="S95" s="27">
        <f t="shared" si="15"/>
        <v>0.18754683232215805</v>
      </c>
      <c r="T95" s="27" t="s">
        <v>239</v>
      </c>
      <c r="U95" s="4"/>
      <c r="V95" s="4"/>
    </row>
    <row r="96" spans="1:22" s="6" customFormat="1" ht="17">
      <c r="A96" s="6" t="s">
        <v>98</v>
      </c>
      <c r="B96" s="6">
        <v>2012</v>
      </c>
      <c r="C96" s="9">
        <v>8849862</v>
      </c>
      <c r="D96" s="9">
        <v>4961060</v>
      </c>
      <c r="E96" s="4">
        <f t="shared" si="13"/>
        <v>3888802</v>
      </c>
      <c r="F96" s="4">
        <v>1377222</v>
      </c>
      <c r="G96" s="4">
        <v>987593</v>
      </c>
      <c r="H96" s="3">
        <f t="shared" si="14"/>
        <v>389629</v>
      </c>
      <c r="I96" s="3">
        <v>183395</v>
      </c>
      <c r="J96" s="13">
        <v>0.91</v>
      </c>
      <c r="K96" s="9">
        <v>796822</v>
      </c>
      <c r="L96" s="4"/>
      <c r="M96" s="6">
        <v>-1370498</v>
      </c>
      <c r="N96" s="6">
        <f t="shared" si="12"/>
        <v>-573676</v>
      </c>
      <c r="O96" s="4">
        <v>-649196</v>
      </c>
      <c r="P96" s="4">
        <f t="shared" si="10"/>
        <v>796822</v>
      </c>
      <c r="Q96" s="5">
        <v>26.24</v>
      </c>
      <c r="R96" s="6">
        <f t="shared" si="11"/>
        <v>28.835164835164832</v>
      </c>
      <c r="S96" s="27">
        <f t="shared" si="15"/>
        <v>2.0722922007145421E-2</v>
      </c>
      <c r="T96" s="27" t="s">
        <v>239</v>
      </c>
      <c r="U96" s="4"/>
      <c r="V96" s="4"/>
    </row>
    <row r="97" spans="1:22" s="6" customFormat="1" ht="17">
      <c r="A97" s="6" t="s">
        <v>98</v>
      </c>
      <c r="B97" s="6">
        <v>2013</v>
      </c>
      <c r="C97" s="9">
        <v>9792053</v>
      </c>
      <c r="D97" s="9">
        <v>4927925</v>
      </c>
      <c r="E97" s="4">
        <f t="shared" si="13"/>
        <v>4864128</v>
      </c>
      <c r="F97" s="4">
        <v>1862011</v>
      </c>
      <c r="G97" s="4">
        <v>1227025</v>
      </c>
      <c r="H97" s="3">
        <f t="shared" si="14"/>
        <v>634986</v>
      </c>
      <c r="I97" s="3">
        <v>390572</v>
      </c>
      <c r="J97" s="13">
        <v>1.98</v>
      </c>
      <c r="K97" s="9">
        <v>1162861</v>
      </c>
      <c r="L97" s="4"/>
      <c r="M97" s="6">
        <v>-999775</v>
      </c>
      <c r="N97" s="6">
        <f t="shared" si="12"/>
        <v>163086</v>
      </c>
      <c r="O97" s="4">
        <v>663586</v>
      </c>
      <c r="P97" s="4">
        <f t="shared" si="10"/>
        <v>1162861</v>
      </c>
      <c r="Q97" s="5">
        <v>36.880000000000003</v>
      </c>
      <c r="R97" s="6">
        <f t="shared" si="11"/>
        <v>18.626262626262626</v>
      </c>
      <c r="S97" s="27">
        <f t="shared" si="15"/>
        <v>3.9886630515582382E-2</v>
      </c>
      <c r="T97" s="27" t="s">
        <v>239</v>
      </c>
      <c r="U97" s="4"/>
      <c r="V97" s="4"/>
    </row>
    <row r="98" spans="1:22" s="6" customFormat="1" ht="17">
      <c r="A98" s="6" t="s">
        <v>98</v>
      </c>
      <c r="B98" s="6">
        <v>2014</v>
      </c>
      <c r="C98" s="9">
        <v>12064900</v>
      </c>
      <c r="D98" s="9">
        <v>5691837</v>
      </c>
      <c r="E98" s="4">
        <f t="shared" si="13"/>
        <v>6373063</v>
      </c>
      <c r="F98" s="4">
        <v>2469710</v>
      </c>
      <c r="G98" s="4">
        <v>1650461</v>
      </c>
      <c r="H98" s="3">
        <f t="shared" si="14"/>
        <v>819249</v>
      </c>
      <c r="I98" s="3">
        <v>386965</v>
      </c>
      <c r="J98" s="13">
        <v>2.54</v>
      </c>
      <c r="K98" s="9">
        <v>1414742</v>
      </c>
      <c r="L98" s="4"/>
      <c r="M98" s="6">
        <v>-2444212</v>
      </c>
      <c r="N98" s="6">
        <f t="shared" si="12"/>
        <v>-1029470</v>
      </c>
      <c r="O98" s="4">
        <v>231788</v>
      </c>
      <c r="P98" s="4">
        <f t="shared" si="10"/>
        <v>1414742</v>
      </c>
      <c r="Q98" s="5">
        <v>52.78</v>
      </c>
      <c r="R98" s="6">
        <f t="shared" si="11"/>
        <v>20.779527559055119</v>
      </c>
      <c r="S98" s="27">
        <f t="shared" si="15"/>
        <v>3.2073618513207731E-2</v>
      </c>
      <c r="T98" s="27" t="s">
        <v>239</v>
      </c>
      <c r="U98" s="4"/>
      <c r="V98" s="4"/>
    </row>
    <row r="99" spans="1:22" s="6" customFormat="1" ht="17">
      <c r="A99" s="6" t="s">
        <v>98</v>
      </c>
      <c r="B99" s="6">
        <v>2015</v>
      </c>
      <c r="C99" s="9">
        <v>13976172</v>
      </c>
      <c r="D99" s="9">
        <v>5948130</v>
      </c>
      <c r="E99" s="4">
        <f t="shared" si="13"/>
        <v>8028042</v>
      </c>
      <c r="F99" s="4">
        <v>2339762</v>
      </c>
      <c r="G99" s="4">
        <v>1776623</v>
      </c>
      <c r="H99" s="3">
        <f t="shared" si="14"/>
        <v>563139</v>
      </c>
      <c r="I99" s="3">
        <v>85171</v>
      </c>
      <c r="J99" s="13">
        <v>0.56000000000000005</v>
      </c>
      <c r="K99" s="9">
        <v>1216940</v>
      </c>
      <c r="L99" s="4"/>
      <c r="M99" s="6">
        <v>-2525607</v>
      </c>
      <c r="N99" s="6">
        <f t="shared" si="12"/>
        <v>-1308667</v>
      </c>
      <c r="O99" s="4">
        <v>1832470</v>
      </c>
      <c r="P99" s="4">
        <f t="shared" si="10"/>
        <v>1216940</v>
      </c>
      <c r="Q99" s="5">
        <v>45.1</v>
      </c>
      <c r="R99" s="6">
        <f t="shared" si="11"/>
        <v>80.535714285714278</v>
      </c>
      <c r="S99" s="27">
        <f t="shared" si="15"/>
        <v>6.0940148704523673E-3</v>
      </c>
      <c r="T99" s="27" t="s">
        <v>239</v>
      </c>
      <c r="U99" s="4"/>
      <c r="V99" s="4"/>
    </row>
    <row r="100" spans="1:22" s="6" customFormat="1" ht="17">
      <c r="A100" s="6" t="s">
        <v>98</v>
      </c>
      <c r="B100" s="6">
        <v>2016</v>
      </c>
      <c r="C100" s="9">
        <v>15472922</v>
      </c>
      <c r="D100" s="9">
        <v>6353675</v>
      </c>
      <c r="E100" s="4">
        <f t="shared" si="13"/>
        <v>9119247</v>
      </c>
      <c r="F100" s="4">
        <v>1608348</v>
      </c>
      <c r="G100" s="4">
        <v>1894673</v>
      </c>
      <c r="H100" s="3">
        <f t="shared" si="14"/>
        <v>-286325</v>
      </c>
      <c r="I100" s="3">
        <v>-452983</v>
      </c>
      <c r="J100" s="13">
        <v>-2.71</v>
      </c>
      <c r="K100" s="9">
        <v>1064320</v>
      </c>
      <c r="L100" s="4"/>
      <c r="M100" s="6">
        <v>-2961481</v>
      </c>
      <c r="N100" s="6">
        <f t="shared" si="12"/>
        <v>-1897161</v>
      </c>
      <c r="O100" s="4">
        <v>1399469</v>
      </c>
      <c r="P100" s="4">
        <f t="shared" si="10"/>
        <v>1064320</v>
      </c>
      <c r="Q100" s="5">
        <v>36.6</v>
      </c>
      <c r="R100" s="6">
        <f t="shared" si="11"/>
        <v>-13.505535055350554</v>
      </c>
      <c r="S100" s="27">
        <f t="shared" si="15"/>
        <v>-2.9275853649362416E-2</v>
      </c>
      <c r="T100" s="27" t="s">
        <v>239</v>
      </c>
      <c r="U100" s="4"/>
      <c r="V100" s="4"/>
    </row>
    <row r="101" spans="1:22" s="6" customFormat="1" ht="17">
      <c r="A101" s="6" t="s">
        <v>98</v>
      </c>
      <c r="B101" s="6">
        <v>2017</v>
      </c>
      <c r="C101" s="9">
        <v>29522604</v>
      </c>
      <c r="D101" s="9">
        <v>11107991</v>
      </c>
      <c r="E101" s="4">
        <f t="shared" si="13"/>
        <v>18414613</v>
      </c>
      <c r="F101" s="4">
        <v>3378015</v>
      </c>
      <c r="G101" s="4">
        <v>2445034</v>
      </c>
      <c r="H101" s="3">
        <f t="shared" si="14"/>
        <v>932981</v>
      </c>
      <c r="I101" s="3">
        <v>1508529</v>
      </c>
      <c r="J101" s="13">
        <v>8.0500000000000007</v>
      </c>
      <c r="K101" s="9">
        <v>1637698</v>
      </c>
      <c r="L101" s="4"/>
      <c r="M101" s="6">
        <v>-4127070</v>
      </c>
      <c r="N101" s="6">
        <f t="shared" si="12"/>
        <v>-2489372</v>
      </c>
      <c r="O101" s="4">
        <v>1533147</v>
      </c>
      <c r="P101" s="4">
        <f t="shared" si="10"/>
        <v>1637698</v>
      </c>
      <c r="Q101" s="5">
        <v>33.26</v>
      </c>
      <c r="R101" s="6">
        <f t="shared" si="11"/>
        <v>4.1316770186335399</v>
      </c>
      <c r="S101" s="27">
        <f t="shared" si="15"/>
        <v>5.1097423519957795E-2</v>
      </c>
      <c r="T101" s="27" t="s">
        <v>239</v>
      </c>
      <c r="U101" s="4"/>
      <c r="V101" s="4"/>
    </row>
    <row r="102" spans="1:22" s="6" customFormat="1" ht="17">
      <c r="A102" s="6" t="s">
        <v>98</v>
      </c>
      <c r="B102" s="6">
        <v>2018</v>
      </c>
      <c r="C102" s="9">
        <v>20721344</v>
      </c>
      <c r="D102" s="9">
        <v>9763115</v>
      </c>
      <c r="E102" s="4">
        <f t="shared" si="13"/>
        <v>10958229</v>
      </c>
      <c r="F102" s="4">
        <v>4557868</v>
      </c>
      <c r="G102" s="4">
        <v>7340992</v>
      </c>
      <c r="H102" s="3">
        <f t="shared" si="14"/>
        <v>-2783124</v>
      </c>
      <c r="I102" s="3">
        <v>-2244568</v>
      </c>
      <c r="J102" s="13">
        <v>-9.1199999999999992</v>
      </c>
      <c r="K102" s="9">
        <v>2976256</v>
      </c>
      <c r="L102" s="4"/>
      <c r="M102" s="6">
        <v>-3979104</v>
      </c>
      <c r="N102" s="6">
        <f t="shared" si="12"/>
        <v>-1002848</v>
      </c>
      <c r="O102" s="4">
        <v>859020</v>
      </c>
      <c r="P102" s="4">
        <f t="shared" si="10"/>
        <v>2976256</v>
      </c>
      <c r="Q102" s="5">
        <v>25.86</v>
      </c>
      <c r="R102" s="6">
        <f t="shared" si="11"/>
        <v>-2.8355263157894739</v>
      </c>
      <c r="S102" s="27">
        <f t="shared" si="15"/>
        <v>-0.10832154516618227</v>
      </c>
      <c r="T102" s="27" t="s">
        <v>239</v>
      </c>
      <c r="U102" s="4"/>
      <c r="V102" s="4"/>
    </row>
    <row r="103" spans="1:22" s="6" customFormat="1" ht="17">
      <c r="A103" s="6" t="s">
        <v>98</v>
      </c>
      <c r="B103" s="6">
        <v>2019</v>
      </c>
      <c r="C103" s="9">
        <v>18809227</v>
      </c>
      <c r="D103" s="9">
        <v>9005639</v>
      </c>
      <c r="E103" s="4">
        <f t="shared" si="13"/>
        <v>9803588</v>
      </c>
      <c r="F103" s="4">
        <v>4416484</v>
      </c>
      <c r="G103" s="4">
        <v>5568594</v>
      </c>
      <c r="H103" s="3">
        <f t="shared" si="14"/>
        <v>-1152110</v>
      </c>
      <c r="I103" s="3">
        <v>-1221695</v>
      </c>
      <c r="J103" s="13">
        <v>-4.79</v>
      </c>
      <c r="K103" s="9">
        <v>1851704</v>
      </c>
      <c r="L103" s="4"/>
      <c r="M103" s="6">
        <v>-1601142</v>
      </c>
      <c r="N103" s="6">
        <f t="shared" si="12"/>
        <v>250562</v>
      </c>
      <c r="O103" s="4">
        <v>-249453</v>
      </c>
      <c r="P103" s="4">
        <f t="shared" si="10"/>
        <v>1851704</v>
      </c>
      <c r="Q103" s="5">
        <v>20.74</v>
      </c>
      <c r="R103" s="6">
        <f t="shared" si="11"/>
        <v>-4.3298538622129437</v>
      </c>
      <c r="S103" s="27">
        <f t="shared" si="15"/>
        <v>-6.4951898342233846E-2</v>
      </c>
      <c r="T103" s="27" t="s">
        <v>239</v>
      </c>
      <c r="U103" s="4"/>
      <c r="V103" s="4"/>
    </row>
    <row r="104" spans="1:22" s="6" customFormat="1" ht="17">
      <c r="A104" s="6" t="s">
        <v>98</v>
      </c>
      <c r="B104" s="6">
        <v>2020</v>
      </c>
      <c r="C104" s="9">
        <v>18113469</v>
      </c>
      <c r="D104" s="9">
        <v>8850739</v>
      </c>
      <c r="E104" s="4">
        <f t="shared" si="13"/>
        <v>9262730</v>
      </c>
      <c r="F104" s="4">
        <v>3058843</v>
      </c>
      <c r="G104" s="4">
        <v>3936509</v>
      </c>
      <c r="H104" s="3">
        <f t="shared" si="14"/>
        <v>-877666</v>
      </c>
      <c r="I104" s="3">
        <v>967166</v>
      </c>
      <c r="J104" s="13">
        <v>-3.71</v>
      </c>
      <c r="K104" s="9">
        <v>1537701</v>
      </c>
      <c r="L104" s="4"/>
      <c r="M104" s="6">
        <v>-1555800</v>
      </c>
      <c r="N104" s="6">
        <f t="shared" si="12"/>
        <v>-18099</v>
      </c>
      <c r="O104" s="4">
        <v>31713</v>
      </c>
      <c r="P104" s="4">
        <f t="shared" si="10"/>
        <v>1537701</v>
      </c>
      <c r="Q104" s="5">
        <v>7</v>
      </c>
      <c r="R104" s="6">
        <f t="shared" si="11"/>
        <v>-1.8867924528301887</v>
      </c>
      <c r="S104" s="27">
        <f t="shared" si="15"/>
        <v>5.3394852195347009E-2</v>
      </c>
      <c r="T104" s="27" t="s">
        <v>239</v>
      </c>
      <c r="U104" s="4"/>
      <c r="V104" s="4"/>
    </row>
    <row r="105" spans="1:22" s="6" customFormat="1" ht="17">
      <c r="A105" s="6" t="s">
        <v>98</v>
      </c>
      <c r="B105" s="6">
        <v>2021</v>
      </c>
      <c r="C105" s="9">
        <v>21607388</v>
      </c>
      <c r="D105" s="9">
        <v>11636389</v>
      </c>
      <c r="E105" s="4">
        <f t="shared" si="13"/>
        <v>9970999</v>
      </c>
      <c r="F105" s="4">
        <v>3064663</v>
      </c>
      <c r="G105" s="4">
        <v>4425638</v>
      </c>
      <c r="H105" s="3">
        <f t="shared" si="14"/>
        <v>-1360975</v>
      </c>
      <c r="I105" s="3">
        <v>-1142747</v>
      </c>
      <c r="J105" s="13">
        <v>-3.54</v>
      </c>
      <c r="K105" s="9">
        <v>1662448</v>
      </c>
      <c r="L105" s="4"/>
      <c r="M105" s="6">
        <v>-2072742</v>
      </c>
      <c r="N105" s="6">
        <f t="shared" si="12"/>
        <v>-410294</v>
      </c>
      <c r="O105" s="4">
        <v>506047</v>
      </c>
      <c r="P105" s="4">
        <f t="shared" si="10"/>
        <v>1662448</v>
      </c>
      <c r="Q105" s="5">
        <v>18.579999999999998</v>
      </c>
      <c r="R105" s="6">
        <f t="shared" si="11"/>
        <v>-5.248587570621468</v>
      </c>
      <c r="S105" s="27">
        <f t="shared" si="15"/>
        <v>-5.2886864437293395E-2</v>
      </c>
      <c r="T105" s="27" t="s">
        <v>239</v>
      </c>
      <c r="U105" s="4"/>
      <c r="V105" s="4"/>
    </row>
    <row r="106" spans="1:22" s="6" customFormat="1" ht="17">
      <c r="A106" s="6" t="s">
        <v>98</v>
      </c>
      <c r="B106" s="6">
        <v>2022</v>
      </c>
      <c r="C106" s="9">
        <v>22669926</v>
      </c>
      <c r="D106" s="9">
        <v>11456598</v>
      </c>
      <c r="E106" s="4">
        <f t="shared" si="13"/>
        <v>11213328</v>
      </c>
      <c r="F106" s="4">
        <v>7497689</v>
      </c>
      <c r="G106" s="4">
        <v>4779692</v>
      </c>
      <c r="H106" s="3">
        <f t="shared" si="14"/>
        <v>2717997</v>
      </c>
      <c r="I106" s="3">
        <v>1770965</v>
      </c>
      <c r="J106" s="13">
        <v>4.79</v>
      </c>
      <c r="K106" s="9">
        <v>3465560</v>
      </c>
      <c r="L106" s="4"/>
      <c r="M106" s="6">
        <v>-2072742</v>
      </c>
      <c r="N106" s="6">
        <f t="shared" si="12"/>
        <v>1392818</v>
      </c>
      <c r="O106" s="4">
        <v>-699126</v>
      </c>
      <c r="P106" s="4">
        <f t="shared" si="10"/>
        <v>3465560</v>
      </c>
      <c r="Q106" s="5">
        <v>34.409999999999997</v>
      </c>
      <c r="R106" s="6">
        <f t="shared" si="11"/>
        <v>7.1837160751565756</v>
      </c>
      <c r="S106" s="27">
        <f t="shared" si="15"/>
        <v>7.8119575688072387E-2</v>
      </c>
      <c r="T106" s="27" t="s">
        <v>239</v>
      </c>
      <c r="U106" s="4"/>
      <c r="V106" s="4"/>
    </row>
    <row r="107" spans="1:22" s="6" customFormat="1" ht="17">
      <c r="A107" s="6" t="s">
        <v>110</v>
      </c>
      <c r="B107" s="6">
        <v>2012</v>
      </c>
      <c r="C107" s="9">
        <v>1578368</v>
      </c>
      <c r="D107" s="9">
        <v>451960</v>
      </c>
      <c r="E107" s="4">
        <f t="shared" si="13"/>
        <v>1126408</v>
      </c>
      <c r="F107" s="4">
        <v>248926</v>
      </c>
      <c r="G107" s="4">
        <v>151663</v>
      </c>
      <c r="H107" s="3">
        <f t="shared" si="14"/>
        <v>97263</v>
      </c>
      <c r="I107" s="3">
        <v>68371</v>
      </c>
      <c r="J107" s="13">
        <v>1.22</v>
      </c>
      <c r="K107" s="9">
        <v>199158</v>
      </c>
      <c r="L107" s="4"/>
      <c r="M107" s="6">
        <v>-840579</v>
      </c>
      <c r="N107" s="6">
        <f t="shared" si="12"/>
        <v>-641421</v>
      </c>
      <c r="O107" s="4">
        <v>714612</v>
      </c>
      <c r="P107" s="4">
        <f t="shared" si="10"/>
        <v>199158</v>
      </c>
      <c r="Q107" s="5">
        <v>0</v>
      </c>
      <c r="R107" s="6">
        <f t="shared" si="11"/>
        <v>0</v>
      </c>
      <c r="S107" s="27">
        <f t="shared" si="15"/>
        <v>4.3317527978266157E-2</v>
      </c>
      <c r="T107" s="27" t="s">
        <v>239</v>
      </c>
      <c r="U107" s="4"/>
      <c r="V107" s="4"/>
    </row>
    <row r="108" spans="1:22" s="6" customFormat="1" ht="17">
      <c r="A108" s="6" t="s">
        <v>110</v>
      </c>
      <c r="B108" s="6">
        <v>2013</v>
      </c>
      <c r="C108" s="9">
        <v>2693136</v>
      </c>
      <c r="D108" s="9">
        <v>642898</v>
      </c>
      <c r="E108" s="4">
        <f t="shared" si="13"/>
        <v>2050238</v>
      </c>
      <c r="F108" s="4">
        <v>262753</v>
      </c>
      <c r="G108" s="4">
        <v>207290</v>
      </c>
      <c r="H108" s="3">
        <f t="shared" si="14"/>
        <v>55463</v>
      </c>
      <c r="I108" s="3">
        <v>153192</v>
      </c>
      <c r="J108" s="13">
        <v>1.98</v>
      </c>
      <c r="K108" s="9">
        <v>191065</v>
      </c>
      <c r="L108" s="4"/>
      <c r="M108" s="6">
        <v>-664260</v>
      </c>
      <c r="N108" s="6">
        <f t="shared" si="12"/>
        <v>-473195</v>
      </c>
      <c r="O108" s="4">
        <v>765063</v>
      </c>
      <c r="P108" s="4">
        <f t="shared" si="10"/>
        <v>191065</v>
      </c>
      <c r="Q108" s="5">
        <v>0</v>
      </c>
      <c r="R108" s="6">
        <f t="shared" si="11"/>
        <v>0</v>
      </c>
      <c r="S108" s="27">
        <f t="shared" si="15"/>
        <v>5.6882385442101696E-2</v>
      </c>
      <c r="T108" s="27" t="s">
        <v>239</v>
      </c>
      <c r="U108" s="4"/>
      <c r="V108" s="4"/>
    </row>
    <row r="109" spans="1:22" s="6" customFormat="1" ht="17">
      <c r="A109" s="6" t="s">
        <v>110</v>
      </c>
      <c r="B109" s="6">
        <v>2014</v>
      </c>
      <c r="C109" s="9">
        <v>3632393</v>
      </c>
      <c r="D109" s="9">
        <v>1336097</v>
      </c>
      <c r="E109" s="4">
        <f t="shared" si="13"/>
        <v>2296296</v>
      </c>
      <c r="F109" s="4">
        <v>671266</v>
      </c>
      <c r="G109" s="4">
        <v>445135</v>
      </c>
      <c r="H109" s="3">
        <f t="shared" si="14"/>
        <v>226131</v>
      </c>
      <c r="I109" s="3">
        <v>247403</v>
      </c>
      <c r="J109" s="13">
        <v>2.9</v>
      </c>
      <c r="K109" s="9">
        <v>409873</v>
      </c>
      <c r="L109" s="4"/>
      <c r="M109" s="6">
        <v>-1136657</v>
      </c>
      <c r="N109" s="6">
        <f t="shared" si="12"/>
        <v>-726784</v>
      </c>
      <c r="O109" s="4">
        <v>410168</v>
      </c>
      <c r="P109" s="4">
        <f t="shared" si="10"/>
        <v>409873</v>
      </c>
      <c r="Q109" s="5">
        <v>0</v>
      </c>
      <c r="R109" s="6">
        <f t="shared" si="11"/>
        <v>0</v>
      </c>
      <c r="S109" s="27">
        <f t="shared" si="15"/>
        <v>6.8110196226014094E-2</v>
      </c>
      <c r="T109" s="27" t="s">
        <v>239</v>
      </c>
      <c r="U109" s="4"/>
      <c r="V109" s="4"/>
    </row>
    <row r="110" spans="1:22" s="6" customFormat="1" ht="17">
      <c r="A110" s="6" t="s">
        <v>110</v>
      </c>
      <c r="B110" s="6">
        <v>2015</v>
      </c>
      <c r="C110" s="9">
        <v>3334734</v>
      </c>
      <c r="D110" s="9">
        <v>1295897</v>
      </c>
      <c r="E110" s="4">
        <f t="shared" si="13"/>
        <v>2038837</v>
      </c>
      <c r="F110" s="4">
        <v>708990</v>
      </c>
      <c r="G110" s="4">
        <v>2043704</v>
      </c>
      <c r="H110" s="3">
        <f t="shared" si="14"/>
        <v>-1334714</v>
      </c>
      <c r="I110" s="3">
        <v>-1224884</v>
      </c>
      <c r="J110" s="13">
        <v>-12.27</v>
      </c>
      <c r="K110" s="9">
        <v>322179</v>
      </c>
      <c r="L110" s="4"/>
      <c r="M110" s="6">
        <v>-1574253</v>
      </c>
      <c r="N110" s="6">
        <f t="shared" si="12"/>
        <v>-1252074</v>
      </c>
      <c r="O110" s="4">
        <v>1222708</v>
      </c>
      <c r="P110" s="4">
        <f t="shared" si="10"/>
        <v>322179</v>
      </c>
      <c r="Q110" s="5">
        <v>0</v>
      </c>
      <c r="R110" s="6">
        <f t="shared" si="11"/>
        <v>0</v>
      </c>
      <c r="S110" s="27">
        <f t="shared" ref="S110:S141" si="17">I110/C110</f>
        <v>-0.36731085597831792</v>
      </c>
      <c r="T110" s="27" t="s">
        <v>239</v>
      </c>
      <c r="U110" s="4"/>
      <c r="V110" s="4"/>
    </row>
    <row r="111" spans="1:22" s="6" customFormat="1" ht="17">
      <c r="A111" s="6" t="s">
        <v>110</v>
      </c>
      <c r="B111" s="6">
        <v>2016</v>
      </c>
      <c r="C111" s="9">
        <v>4223145</v>
      </c>
      <c r="D111" s="9">
        <v>2039253</v>
      </c>
      <c r="E111" s="4">
        <f t="shared" si="13"/>
        <v>2183892</v>
      </c>
      <c r="F111" s="4">
        <v>385910</v>
      </c>
      <c r="G111" s="4">
        <v>1254060</v>
      </c>
      <c r="H111" s="3">
        <f t="shared" si="14"/>
        <v>-868150</v>
      </c>
      <c r="I111" s="3">
        <v>-979709</v>
      </c>
      <c r="J111" s="13">
        <v>-7.97</v>
      </c>
      <c r="K111" s="9">
        <v>337843</v>
      </c>
      <c r="L111" s="4"/>
      <c r="M111" s="6">
        <v>-905582</v>
      </c>
      <c r="N111" s="6">
        <f t="shared" si="12"/>
        <v>-567739</v>
      </c>
      <c r="O111" s="4">
        <v>1730640</v>
      </c>
      <c r="P111" s="4">
        <f t="shared" si="10"/>
        <v>337843</v>
      </c>
      <c r="Q111" s="5">
        <v>0</v>
      </c>
      <c r="R111" s="6">
        <f t="shared" si="11"/>
        <v>0</v>
      </c>
      <c r="S111" s="27">
        <f t="shared" si="17"/>
        <v>-0.23198564103292688</v>
      </c>
      <c r="T111" s="27" t="s">
        <v>239</v>
      </c>
      <c r="U111" s="4"/>
      <c r="V111" s="4"/>
    </row>
    <row r="112" spans="1:22" s="6" customFormat="1" ht="17">
      <c r="A112" s="6" t="s">
        <v>110</v>
      </c>
      <c r="B112" s="6">
        <v>2017</v>
      </c>
      <c r="C112" s="9">
        <v>5807752</v>
      </c>
      <c r="D112" s="9">
        <v>2706138</v>
      </c>
      <c r="E112" s="4">
        <f t="shared" si="13"/>
        <v>3101614</v>
      </c>
      <c r="F112" s="4">
        <v>1320303</v>
      </c>
      <c r="G112" s="4">
        <v>771937</v>
      </c>
      <c r="H112" s="3">
        <f t="shared" si="14"/>
        <v>548366</v>
      </c>
      <c r="I112" s="3">
        <v>435152</v>
      </c>
      <c r="J112" s="13">
        <v>2.42</v>
      </c>
      <c r="K112" s="9">
        <v>679889</v>
      </c>
      <c r="L112" s="4"/>
      <c r="M112" s="6">
        <v>-2289168</v>
      </c>
      <c r="N112" s="6">
        <f t="shared" si="12"/>
        <v>-1609279</v>
      </c>
      <c r="O112" s="4">
        <v>432961</v>
      </c>
      <c r="P112" s="4">
        <f t="shared" si="10"/>
        <v>679889</v>
      </c>
      <c r="Q112" s="5">
        <v>0</v>
      </c>
      <c r="R112" s="6">
        <f t="shared" si="11"/>
        <v>0</v>
      </c>
      <c r="S112" s="27">
        <f t="shared" si="17"/>
        <v>7.492606433608047E-2</v>
      </c>
      <c r="T112" s="27" t="s">
        <v>239</v>
      </c>
      <c r="U112" s="4"/>
      <c r="V112" s="4"/>
    </row>
    <row r="113" spans="1:22" s="6" customFormat="1" ht="17">
      <c r="A113" s="6" t="s">
        <v>110</v>
      </c>
      <c r="B113" s="6">
        <v>2018</v>
      </c>
      <c r="C113" s="9">
        <v>6051036</v>
      </c>
      <c r="D113" s="9">
        <v>2723268</v>
      </c>
      <c r="E113" s="4">
        <f t="shared" si="13"/>
        <v>3327768</v>
      </c>
      <c r="F113" s="4">
        <v>1551701</v>
      </c>
      <c r="G113" s="4">
        <v>1152742</v>
      </c>
      <c r="H113" s="3">
        <f t="shared" si="14"/>
        <v>398959</v>
      </c>
      <c r="I113" s="3">
        <v>430560</v>
      </c>
      <c r="J113" s="13">
        <v>2.46</v>
      </c>
      <c r="K113" s="9">
        <v>786271</v>
      </c>
      <c r="L113" s="4"/>
      <c r="M113" s="6">
        <v>-676874</v>
      </c>
      <c r="N113" s="6">
        <f t="shared" si="12"/>
        <v>109397</v>
      </c>
      <c r="O113" s="4">
        <v>-156657</v>
      </c>
      <c r="P113" s="4">
        <f t="shared" si="10"/>
        <v>786271</v>
      </c>
      <c r="Q113" s="5">
        <v>0</v>
      </c>
      <c r="R113" s="6">
        <f t="shared" si="11"/>
        <v>0</v>
      </c>
      <c r="S113" s="27">
        <f t="shared" si="17"/>
        <v>7.1154757631585727E-2</v>
      </c>
      <c r="T113" s="27" t="s">
        <v>239</v>
      </c>
      <c r="U113" s="4"/>
      <c r="V113" s="4"/>
    </row>
    <row r="114" spans="1:22" s="6" customFormat="1" ht="17">
      <c r="A114" s="6" t="s">
        <v>110</v>
      </c>
      <c r="B114" s="6">
        <v>2019</v>
      </c>
      <c r="C114" s="9">
        <v>3882819</v>
      </c>
      <c r="D114" s="9">
        <v>2568227</v>
      </c>
      <c r="E114" s="4">
        <f t="shared" si="13"/>
        <v>1314592</v>
      </c>
      <c r="F114" s="4">
        <v>1563126</v>
      </c>
      <c r="G114" s="4">
        <v>3266819</v>
      </c>
      <c r="H114" s="3">
        <f t="shared" si="14"/>
        <v>-1703693</v>
      </c>
      <c r="I114" s="3">
        <v>-2002358</v>
      </c>
      <c r="J114" s="13">
        <v>-12.49</v>
      </c>
      <c r="K114" s="9">
        <v>723993</v>
      </c>
      <c r="L114" s="4"/>
      <c r="M114" s="6">
        <v>-674771</v>
      </c>
      <c r="N114" s="6">
        <f t="shared" si="12"/>
        <v>49222</v>
      </c>
      <c r="O114" s="4">
        <v>-95459</v>
      </c>
      <c r="P114" s="4">
        <f t="shared" si="10"/>
        <v>723993</v>
      </c>
      <c r="Q114" s="5">
        <v>0</v>
      </c>
      <c r="R114" s="6">
        <f t="shared" si="11"/>
        <v>0</v>
      </c>
      <c r="S114" s="27">
        <f t="shared" si="17"/>
        <v>-0.51569697171050211</v>
      </c>
      <c r="T114" s="27" t="s">
        <v>239</v>
      </c>
      <c r="U114" s="4"/>
      <c r="V114" s="4"/>
    </row>
    <row r="115" spans="1:22" s="6" customFormat="1" ht="17">
      <c r="A115" s="6" t="s">
        <v>110</v>
      </c>
      <c r="B115" s="6">
        <v>2020</v>
      </c>
      <c r="C115" s="9">
        <v>2539871</v>
      </c>
      <c r="D115" s="9">
        <v>2840371</v>
      </c>
      <c r="E115" s="4">
        <f t="shared" si="13"/>
        <v>-300500</v>
      </c>
      <c r="F115" s="4">
        <v>866542</v>
      </c>
      <c r="G115" s="4">
        <v>2229147</v>
      </c>
      <c r="H115" s="3">
        <f t="shared" si="14"/>
        <v>-1362605</v>
      </c>
      <c r="I115" s="3">
        <v>-1625133</v>
      </c>
      <c r="J115" s="13">
        <v>-10.14</v>
      </c>
      <c r="K115" s="9">
        <v>95304</v>
      </c>
      <c r="L115" s="4"/>
      <c r="M115" s="6">
        <v>-314587</v>
      </c>
      <c r="N115" s="6">
        <f t="shared" si="12"/>
        <v>-219283</v>
      </c>
      <c r="O115" s="4">
        <v>303084</v>
      </c>
      <c r="P115" s="4">
        <f t="shared" si="10"/>
        <v>95304</v>
      </c>
      <c r="Q115" s="5">
        <v>0</v>
      </c>
      <c r="R115" s="6">
        <f t="shared" si="11"/>
        <v>0</v>
      </c>
      <c r="S115" s="27">
        <f t="shared" si="17"/>
        <v>-0.63984863798200775</v>
      </c>
      <c r="T115" s="27" t="s">
        <v>239</v>
      </c>
      <c r="U115" s="4"/>
      <c r="V115" s="4"/>
    </row>
    <row r="116" spans="1:22" s="6" customFormat="1" ht="17">
      <c r="A116" s="6" t="s">
        <v>110</v>
      </c>
      <c r="B116" s="6">
        <v>2021</v>
      </c>
      <c r="C116" s="9">
        <v>2168232</v>
      </c>
      <c r="D116" s="9">
        <v>1560858</v>
      </c>
      <c r="E116" s="4">
        <f t="shared" si="13"/>
        <v>607374</v>
      </c>
      <c r="F116" s="4">
        <f>535765+273037</f>
        <v>808802</v>
      </c>
      <c r="G116" s="4">
        <f>591691+290695</f>
        <v>882386</v>
      </c>
      <c r="H116" s="3">
        <f t="shared" si="14"/>
        <v>-73584</v>
      </c>
      <c r="I116" s="3">
        <f>250994-117402</f>
        <v>133592</v>
      </c>
      <c r="J116" s="13">
        <f>1.56-5.71</f>
        <v>-4.1500000000000004</v>
      </c>
      <c r="K116" s="9">
        <f>292985+172155</f>
        <v>465140</v>
      </c>
      <c r="L116" s="4"/>
      <c r="M116" s="6">
        <f>-200105-97831</f>
        <v>-297936</v>
      </c>
      <c r="N116" s="6">
        <f t="shared" si="12"/>
        <v>167204</v>
      </c>
      <c r="O116" s="4">
        <f>-149037-104768</f>
        <v>-253805</v>
      </c>
      <c r="P116" s="4">
        <f t="shared" si="10"/>
        <v>465140</v>
      </c>
      <c r="Q116" s="5">
        <v>64.7</v>
      </c>
      <c r="R116" s="6">
        <f t="shared" si="11"/>
        <v>-15.590361445783133</v>
      </c>
      <c r="S116" s="27">
        <f t="shared" si="17"/>
        <v>6.1613332890576286E-2</v>
      </c>
      <c r="T116" s="27" t="s">
        <v>239</v>
      </c>
      <c r="U116" s="4"/>
      <c r="V116" s="4"/>
    </row>
    <row r="117" spans="1:22" s="6" customFormat="1" ht="17">
      <c r="A117" s="6" t="s">
        <v>110</v>
      </c>
      <c r="B117" s="6">
        <v>2022</v>
      </c>
      <c r="C117" s="9">
        <v>2534479</v>
      </c>
      <c r="D117" s="9">
        <v>1653349</v>
      </c>
      <c r="E117" s="4">
        <f t="shared" si="13"/>
        <v>881130</v>
      </c>
      <c r="F117" s="4">
        <v>1331112</v>
      </c>
      <c r="G117" s="4">
        <v>787986</v>
      </c>
      <c r="H117" s="3">
        <f t="shared" si="14"/>
        <v>543126</v>
      </c>
      <c r="I117" s="3">
        <v>412856</v>
      </c>
      <c r="J117" s="13">
        <v>20.45</v>
      </c>
      <c r="K117" s="9">
        <v>739077</v>
      </c>
      <c r="L117" s="4"/>
      <c r="M117" s="6">
        <v>-458295</v>
      </c>
      <c r="N117" s="6">
        <f t="shared" si="12"/>
        <v>280782</v>
      </c>
      <c r="O117" s="4">
        <v>-276783</v>
      </c>
      <c r="P117" s="4">
        <f t="shared" si="10"/>
        <v>739077</v>
      </c>
      <c r="Q117" s="5">
        <v>89.82</v>
      </c>
      <c r="R117" s="6">
        <f t="shared" si="11"/>
        <v>4.3921760391198044</v>
      </c>
      <c r="S117" s="27">
        <f t="shared" si="17"/>
        <v>0.16289580619922281</v>
      </c>
      <c r="T117" s="27" t="s">
        <v>239</v>
      </c>
      <c r="U117" s="4"/>
      <c r="V117" s="4"/>
    </row>
    <row r="118" spans="1:22" s="6" customFormat="1" ht="17">
      <c r="A118" s="6" t="s">
        <v>122</v>
      </c>
      <c r="B118" s="6">
        <v>2012</v>
      </c>
      <c r="C118" s="9">
        <v>43441000</v>
      </c>
      <c r="D118" s="9">
        <v>22238000</v>
      </c>
      <c r="E118" s="4">
        <f t="shared" si="13"/>
        <v>21203000</v>
      </c>
      <c r="F118" s="4">
        <v>12935000</v>
      </c>
      <c r="G118" s="4">
        <v>9598000</v>
      </c>
      <c r="H118" s="3">
        <f t="shared" si="14"/>
        <v>3337000</v>
      </c>
      <c r="I118" s="3">
        <v>2025000</v>
      </c>
      <c r="J118" s="13">
        <v>5.98</v>
      </c>
      <c r="K118" s="9">
        <v>5660000</v>
      </c>
      <c r="L118" s="4"/>
      <c r="M118" s="6">
        <v>-7051</v>
      </c>
      <c r="N118" s="6">
        <f t="shared" si="12"/>
        <v>5652949</v>
      </c>
      <c r="O118" s="4">
        <v>1682000</v>
      </c>
      <c r="P118" s="4">
        <f t="shared" si="10"/>
        <v>5660000</v>
      </c>
      <c r="Q118" s="5">
        <v>58.95</v>
      </c>
      <c r="R118" s="6">
        <f t="shared" si="11"/>
        <v>9.8578595317725757</v>
      </c>
      <c r="S118" s="27">
        <f t="shared" si="17"/>
        <v>4.6614949011302684E-2</v>
      </c>
      <c r="T118" s="27" t="s">
        <v>239</v>
      </c>
      <c r="U118" s="4"/>
      <c r="V118" s="4"/>
    </row>
    <row r="119" spans="1:22" s="6" customFormat="1" ht="17">
      <c r="A119" s="6" t="s">
        <v>122</v>
      </c>
      <c r="B119" s="6">
        <v>2013</v>
      </c>
      <c r="C119" s="9">
        <v>42754000</v>
      </c>
      <c r="D119" s="9">
        <v>17970000</v>
      </c>
      <c r="E119" s="4">
        <f t="shared" si="13"/>
        <v>24784000</v>
      </c>
      <c r="F119" s="4">
        <v>14028000</v>
      </c>
      <c r="G119" s="4">
        <v>9427000</v>
      </c>
      <c r="H119" s="3">
        <f t="shared" si="14"/>
        <v>4601000</v>
      </c>
      <c r="I119" s="3">
        <v>5052000</v>
      </c>
      <c r="J119" s="13">
        <v>15.01</v>
      </c>
      <c r="K119" s="9">
        <v>4870000</v>
      </c>
      <c r="L119" s="4"/>
      <c r="M119" s="6">
        <v>578000</v>
      </c>
      <c r="N119" s="6">
        <f t="shared" si="12"/>
        <v>5448000</v>
      </c>
      <c r="O119" s="4">
        <v>-4276000</v>
      </c>
      <c r="P119" s="4">
        <f t="shared" si="10"/>
        <v>4870000</v>
      </c>
      <c r="Q119" s="5">
        <v>71.61</v>
      </c>
      <c r="R119" s="6">
        <f t="shared" si="11"/>
        <v>4.770819453697535</v>
      </c>
      <c r="S119" s="27">
        <f t="shared" si="17"/>
        <v>0.11816438228002059</v>
      </c>
      <c r="T119" s="27" t="s">
        <v>239</v>
      </c>
      <c r="U119" s="4"/>
      <c r="V119" s="4"/>
    </row>
    <row r="120" spans="1:22" s="6" customFormat="1" ht="17">
      <c r="A120" s="6" t="s">
        <v>122</v>
      </c>
      <c r="B120" s="6">
        <v>2014</v>
      </c>
      <c r="C120" s="9">
        <v>38578000</v>
      </c>
      <c r="D120" s="9">
        <v>16258000</v>
      </c>
      <c r="E120" s="4">
        <f t="shared" si="13"/>
        <v>22320000</v>
      </c>
      <c r="F120" s="4">
        <v>11439000</v>
      </c>
      <c r="G120" s="4">
        <v>9003000</v>
      </c>
      <c r="H120" s="3">
        <f t="shared" si="14"/>
        <v>2436000</v>
      </c>
      <c r="I120" s="3">
        <v>2317000</v>
      </c>
      <c r="J120" s="13">
        <v>7.63</v>
      </c>
      <c r="K120" s="9">
        <v>4464000</v>
      </c>
      <c r="L120" s="4"/>
      <c r="M120" s="6">
        <v>1000</v>
      </c>
      <c r="N120" s="6">
        <f t="shared" si="12"/>
        <v>4465000</v>
      </c>
      <c r="O120" s="4">
        <v>-3835000</v>
      </c>
      <c r="P120" s="4">
        <f t="shared" si="10"/>
        <v>4464000</v>
      </c>
      <c r="Q120" s="5">
        <v>82.88</v>
      </c>
      <c r="R120" s="6">
        <f t="shared" si="11"/>
        <v>10.862385321100916</v>
      </c>
      <c r="S120" s="27">
        <f t="shared" si="17"/>
        <v>6.0060137902431435E-2</v>
      </c>
      <c r="T120" s="27" t="s">
        <v>239</v>
      </c>
      <c r="U120" s="4"/>
      <c r="V120" s="4"/>
    </row>
    <row r="121" spans="1:22" s="6" customFormat="1" ht="17">
      <c r="A121" s="6" t="s">
        <v>122</v>
      </c>
      <c r="B121" s="6">
        <v>2015</v>
      </c>
      <c r="C121" s="9">
        <v>34195000</v>
      </c>
      <c r="D121" s="9">
        <v>13794000</v>
      </c>
      <c r="E121" s="4">
        <f t="shared" si="13"/>
        <v>20401000</v>
      </c>
      <c r="F121" s="4">
        <v>6561000</v>
      </c>
      <c r="G121" s="4">
        <v>10819000</v>
      </c>
      <c r="H121" s="3">
        <f t="shared" si="14"/>
        <v>-4258000</v>
      </c>
      <c r="I121" s="3">
        <v>-3056000</v>
      </c>
      <c r="J121" s="13">
        <v>-10.78</v>
      </c>
      <c r="K121" s="9">
        <v>1981000</v>
      </c>
      <c r="L121" s="4"/>
      <c r="M121" s="6">
        <v>-4206000</v>
      </c>
      <c r="N121" s="6">
        <f t="shared" si="12"/>
        <v>-2225000</v>
      </c>
      <c r="O121" s="4">
        <v>2497000</v>
      </c>
      <c r="P121" s="4">
        <f t="shared" si="10"/>
        <v>1981000</v>
      </c>
      <c r="Q121" s="5">
        <v>67.87</v>
      </c>
      <c r="R121" s="6">
        <f t="shared" si="11"/>
        <v>-6.2959183673469399</v>
      </c>
      <c r="S121" s="27">
        <f t="shared" si="17"/>
        <v>-8.936979090510308E-2</v>
      </c>
      <c r="T121" s="27" t="s">
        <v>239</v>
      </c>
      <c r="U121" s="4"/>
      <c r="V121" s="4"/>
    </row>
    <row r="122" spans="1:22" s="6" customFormat="1" ht="17">
      <c r="A122" s="6" t="s">
        <v>122</v>
      </c>
      <c r="B122" s="6">
        <v>2016</v>
      </c>
      <c r="C122" s="9">
        <v>28621000</v>
      </c>
      <c r="D122" s="9">
        <v>13030000</v>
      </c>
      <c r="E122" s="4">
        <f t="shared" si="13"/>
        <v>15591000</v>
      </c>
      <c r="F122" s="4">
        <v>4839000</v>
      </c>
      <c r="G122" s="4">
        <v>8693000</v>
      </c>
      <c r="H122" s="3">
        <f t="shared" si="14"/>
        <v>-3854000</v>
      </c>
      <c r="I122" s="3">
        <v>-6173000</v>
      </c>
      <c r="J122" s="13">
        <v>-19.920000000000002</v>
      </c>
      <c r="K122" s="9">
        <v>795000</v>
      </c>
      <c r="L122" s="4"/>
      <c r="M122" s="6">
        <v>-2090000</v>
      </c>
      <c r="N122" s="6">
        <f t="shared" si="12"/>
        <v>-1295000</v>
      </c>
      <c r="O122" s="4">
        <v>1311000</v>
      </c>
      <c r="P122" s="4">
        <f t="shared" si="10"/>
        <v>795000</v>
      </c>
      <c r="Q122" s="5">
        <v>52.65</v>
      </c>
      <c r="R122" s="6">
        <f t="shared" si="11"/>
        <v>-2.6430722891566263</v>
      </c>
      <c r="S122" s="27">
        <f t="shared" si="17"/>
        <v>-0.2156807938227176</v>
      </c>
      <c r="T122" s="27" t="s">
        <v>239</v>
      </c>
      <c r="U122" s="4"/>
      <c r="V122" s="4"/>
    </row>
    <row r="123" spans="1:22" s="6" customFormat="1" ht="17">
      <c r="A123" s="6" t="s">
        <v>122</v>
      </c>
      <c r="B123" s="6">
        <v>2017</v>
      </c>
      <c r="C123" s="9">
        <v>23112000</v>
      </c>
      <c r="D123" s="9">
        <v>10758000</v>
      </c>
      <c r="E123" s="4">
        <f t="shared" si="13"/>
        <v>12354000</v>
      </c>
      <c r="F123" s="4">
        <v>5391000</v>
      </c>
      <c r="G123" s="4">
        <v>11169000</v>
      </c>
      <c r="H123" s="3">
        <f t="shared" si="14"/>
        <v>-5778000</v>
      </c>
      <c r="I123" s="3">
        <v>-4120000</v>
      </c>
      <c r="J123" s="13">
        <v>-13.12</v>
      </c>
      <c r="K123" s="9">
        <v>945000</v>
      </c>
      <c r="L123" s="4"/>
      <c r="M123" s="6">
        <v>1358000</v>
      </c>
      <c r="N123" s="6">
        <f t="shared" si="12"/>
        <v>2303000</v>
      </c>
      <c r="O123" s="4">
        <v>-188000</v>
      </c>
      <c r="P123" s="4">
        <f t="shared" si="10"/>
        <v>945000</v>
      </c>
      <c r="Q123" s="5">
        <v>48.21</v>
      </c>
      <c r="R123" s="6">
        <f t="shared" si="11"/>
        <v>-3.6745426829268295</v>
      </c>
      <c r="S123" s="27">
        <f t="shared" si="17"/>
        <v>-0.17826237452405677</v>
      </c>
      <c r="T123" s="27" t="s">
        <v>239</v>
      </c>
      <c r="U123" s="4"/>
      <c r="V123" s="4"/>
    </row>
    <row r="124" spans="1:22" s="6" customFormat="1" ht="17">
      <c r="A124" s="6" t="s">
        <v>122</v>
      </c>
      <c r="B124" s="6">
        <v>2018</v>
      </c>
      <c r="C124" s="9">
        <v>21433000</v>
      </c>
      <c r="D124" s="9">
        <v>10545000</v>
      </c>
      <c r="E124" s="4">
        <f t="shared" si="13"/>
        <v>10888000</v>
      </c>
      <c r="F124" s="4">
        <v>6466000</v>
      </c>
      <c r="G124" s="4">
        <v>6246000</v>
      </c>
      <c r="H124" s="3">
        <f t="shared" si="14"/>
        <v>220000</v>
      </c>
      <c r="I124" s="3">
        <v>-328000</v>
      </c>
      <c r="J124" s="13">
        <v>-1.1000000000000001</v>
      </c>
      <c r="K124" s="9">
        <v>1939000</v>
      </c>
      <c r="L124" s="4"/>
      <c r="M124" s="6">
        <v>-1566000</v>
      </c>
      <c r="N124" s="6">
        <f t="shared" si="12"/>
        <v>373000</v>
      </c>
      <c r="O124" s="4">
        <v>-2526000</v>
      </c>
      <c r="P124" s="4">
        <f t="shared" si="10"/>
        <v>1939000</v>
      </c>
      <c r="Q124" s="5">
        <v>50.62</v>
      </c>
      <c r="R124" s="6">
        <f t="shared" si="11"/>
        <v>-46.018181818181809</v>
      </c>
      <c r="S124" s="27">
        <f t="shared" si="17"/>
        <v>-1.5303503942518545E-2</v>
      </c>
      <c r="T124" s="27" t="s">
        <v>239</v>
      </c>
      <c r="U124" s="4"/>
      <c r="V124" s="4"/>
    </row>
    <row r="125" spans="1:22" s="6" customFormat="1" ht="17">
      <c r="A125" s="6" t="s">
        <v>122</v>
      </c>
      <c r="B125" s="6">
        <v>2019</v>
      </c>
      <c r="C125" s="9">
        <v>21782000</v>
      </c>
      <c r="D125" s="9">
        <v>12076000</v>
      </c>
      <c r="E125" s="4">
        <f t="shared" si="13"/>
        <v>9706000</v>
      </c>
      <c r="F125" s="4">
        <v>6510000</v>
      </c>
      <c r="G125" s="4">
        <v>6289000</v>
      </c>
      <c r="H125" s="3">
        <f t="shared" si="14"/>
        <v>221000</v>
      </c>
      <c r="I125" s="3">
        <v>-412000</v>
      </c>
      <c r="J125" s="13">
        <v>-1.37</v>
      </c>
      <c r="K125" s="9">
        <v>1642000</v>
      </c>
      <c r="L125" s="4"/>
      <c r="M125" s="6">
        <v>-2843000</v>
      </c>
      <c r="N125" s="6">
        <f t="shared" si="12"/>
        <v>-1201000</v>
      </c>
      <c r="O125" s="4">
        <v>52000</v>
      </c>
      <c r="P125" s="4">
        <f t="shared" si="10"/>
        <v>1642000</v>
      </c>
      <c r="Q125" s="5">
        <v>60.23</v>
      </c>
      <c r="R125" s="6">
        <f t="shared" si="11"/>
        <v>-43.96350364963503</v>
      </c>
      <c r="S125" s="27">
        <f t="shared" si="17"/>
        <v>-1.8914700211183546E-2</v>
      </c>
      <c r="T125" s="27" t="s">
        <v>239</v>
      </c>
      <c r="U125" s="4"/>
      <c r="V125" s="4"/>
    </row>
    <row r="126" spans="1:22" s="6" customFormat="1" ht="17">
      <c r="A126" s="6" t="s">
        <v>122</v>
      </c>
      <c r="B126" s="6">
        <v>2020</v>
      </c>
      <c r="C126" s="9">
        <v>18821000</v>
      </c>
      <c r="D126" s="9">
        <v>12486000</v>
      </c>
      <c r="E126" s="4">
        <f t="shared" si="13"/>
        <v>6335000</v>
      </c>
      <c r="F126" s="4">
        <v>4804000</v>
      </c>
      <c r="G126" s="4">
        <v>7654000</v>
      </c>
      <c r="H126" s="3">
        <f t="shared" si="14"/>
        <v>-2850000</v>
      </c>
      <c r="I126" s="3">
        <v>-3093000</v>
      </c>
      <c r="J126" s="13">
        <v>-10.15</v>
      </c>
      <c r="K126" s="9">
        <v>1333000</v>
      </c>
      <c r="L126" s="4"/>
      <c r="M126" s="6">
        <v>-1707000</v>
      </c>
      <c r="N126" s="6">
        <f t="shared" si="12"/>
        <v>-374000</v>
      </c>
      <c r="O126" s="4">
        <v>568000</v>
      </c>
      <c r="P126" s="4">
        <f t="shared" si="10"/>
        <v>1333000</v>
      </c>
      <c r="Q126" s="5">
        <v>33.299999999999997</v>
      </c>
      <c r="R126" s="6">
        <f t="shared" si="11"/>
        <v>-3.2807881773399012</v>
      </c>
      <c r="S126" s="27">
        <f t="shared" si="17"/>
        <v>-0.16433770787949631</v>
      </c>
      <c r="T126" s="27" t="s">
        <v>239</v>
      </c>
      <c r="U126" s="4"/>
      <c r="V126" s="4"/>
    </row>
    <row r="127" spans="1:22" s="6" customFormat="1" ht="17">
      <c r="A127" s="6" t="s">
        <v>122</v>
      </c>
      <c r="B127" s="6">
        <v>2021</v>
      </c>
      <c r="C127" s="9">
        <v>20515000</v>
      </c>
      <c r="D127" s="9">
        <v>13489000</v>
      </c>
      <c r="E127" s="4">
        <f t="shared" si="13"/>
        <v>7026000</v>
      </c>
      <c r="F127" s="4">
        <v>7583000</v>
      </c>
      <c r="G127" s="4">
        <v>6093000</v>
      </c>
      <c r="H127" s="3">
        <f t="shared" si="14"/>
        <v>1490000</v>
      </c>
      <c r="I127" s="3">
        <v>559000</v>
      </c>
      <c r="J127" s="13">
        <v>1.82</v>
      </c>
      <c r="K127" s="9">
        <v>2890000</v>
      </c>
      <c r="L127" s="4"/>
      <c r="M127" s="6">
        <v>-1325000</v>
      </c>
      <c r="N127" s="6">
        <f t="shared" si="12"/>
        <v>1565000</v>
      </c>
      <c r="O127" s="4">
        <v>-591000</v>
      </c>
      <c r="P127" s="4">
        <f t="shared" si="10"/>
        <v>2890000</v>
      </c>
      <c r="Q127" s="5">
        <v>70.760000000000005</v>
      </c>
      <c r="R127" s="6">
        <f t="shared" si="11"/>
        <v>38.879120879120883</v>
      </c>
      <c r="S127" s="27">
        <f t="shared" si="17"/>
        <v>2.7248354862295879E-2</v>
      </c>
      <c r="T127" s="27" t="s">
        <v>239</v>
      </c>
      <c r="U127" s="4"/>
      <c r="V127" s="4"/>
    </row>
    <row r="128" spans="1:22" s="6" customFormat="1" ht="17">
      <c r="A128" s="6" t="s">
        <v>122</v>
      </c>
      <c r="B128" s="6">
        <v>2022</v>
      </c>
      <c r="C128" s="9">
        <v>21695000</v>
      </c>
      <c r="D128" s="9">
        <v>13199000</v>
      </c>
      <c r="E128" s="4">
        <f t="shared" si="13"/>
        <v>8496000</v>
      </c>
      <c r="F128" s="4">
        <v>11570000</v>
      </c>
      <c r="G128" s="4">
        <v>8024000</v>
      </c>
      <c r="H128" s="3">
        <f t="shared" si="14"/>
        <v>3546000</v>
      </c>
      <c r="I128" s="3">
        <v>2096000</v>
      </c>
      <c r="J128" s="13">
        <v>6.8</v>
      </c>
      <c r="K128" s="9">
        <v>3944000</v>
      </c>
      <c r="L128" s="4"/>
      <c r="M128" s="6">
        <v>-2555000</v>
      </c>
      <c r="N128" s="6">
        <f t="shared" si="12"/>
        <v>1389000</v>
      </c>
      <c r="O128" s="4">
        <v>-1616000</v>
      </c>
      <c r="P128" s="4">
        <f t="shared" si="10"/>
        <v>3944000</v>
      </c>
      <c r="Q128" s="5">
        <v>107</v>
      </c>
      <c r="R128" s="6">
        <f t="shared" si="11"/>
        <v>15.73529411764706</v>
      </c>
      <c r="S128" s="27">
        <f t="shared" si="17"/>
        <v>9.6612122608896053E-2</v>
      </c>
      <c r="T128" s="27" t="s">
        <v>239</v>
      </c>
      <c r="U128" s="4"/>
      <c r="V128" s="4"/>
    </row>
    <row r="129" spans="1:22" s="6" customFormat="1" ht="17">
      <c r="A129" s="6" t="s">
        <v>134</v>
      </c>
      <c r="B129" s="6">
        <v>2012</v>
      </c>
      <c r="C129" s="9">
        <v>35620000</v>
      </c>
      <c r="D129" s="9">
        <v>16276000</v>
      </c>
      <c r="E129" s="4">
        <f t="shared" si="13"/>
        <v>19344000</v>
      </c>
      <c r="F129" s="4">
        <v>12486000</v>
      </c>
      <c r="G129" s="4">
        <v>9160000</v>
      </c>
      <c r="H129" s="3">
        <f t="shared" si="14"/>
        <v>3326000</v>
      </c>
      <c r="I129" s="3">
        <v>1582000</v>
      </c>
      <c r="J129" s="13">
        <v>2.2400000000000002</v>
      </c>
      <c r="K129" s="9">
        <v>4017000</v>
      </c>
      <c r="L129" s="4"/>
      <c r="M129" s="6">
        <v>-5439000</v>
      </c>
      <c r="N129" s="6">
        <f t="shared" si="12"/>
        <v>-1422000</v>
      </c>
      <c r="O129" s="4">
        <v>1600000</v>
      </c>
      <c r="P129" s="4">
        <f t="shared" si="10"/>
        <v>4017000</v>
      </c>
      <c r="Q129" s="5">
        <v>31.7</v>
      </c>
      <c r="R129" s="6">
        <f t="shared" si="11"/>
        <v>14.151785714285712</v>
      </c>
      <c r="S129" s="27">
        <f t="shared" si="17"/>
        <v>4.4413250982594049E-2</v>
      </c>
      <c r="T129" s="27" t="s">
        <v>239</v>
      </c>
      <c r="U129" s="4"/>
      <c r="V129" s="4"/>
    </row>
    <row r="130" spans="1:22" s="6" customFormat="1" ht="17">
      <c r="A130" s="6" t="s">
        <v>134</v>
      </c>
      <c r="B130" s="6">
        <v>2013</v>
      </c>
      <c r="C130" s="9">
        <v>35620000</v>
      </c>
      <c r="D130" s="9">
        <v>16276000</v>
      </c>
      <c r="E130" s="4">
        <f t="shared" si="13"/>
        <v>19344000</v>
      </c>
      <c r="F130" s="4">
        <v>11783000</v>
      </c>
      <c r="G130" s="4">
        <v>9112000</v>
      </c>
      <c r="H130" s="3">
        <f t="shared" si="14"/>
        <v>2671000</v>
      </c>
      <c r="I130" s="3">
        <v>1753000</v>
      </c>
      <c r="J130" s="13">
        <v>2.4900000000000002</v>
      </c>
      <c r="K130" s="9">
        <v>5270000</v>
      </c>
      <c r="L130" s="4"/>
      <c r="M130" s="6">
        <v>-4521000</v>
      </c>
      <c r="N130" s="6">
        <f t="shared" si="12"/>
        <v>749000</v>
      </c>
      <c r="O130" s="4">
        <v>-1162000</v>
      </c>
      <c r="P130" s="4">
        <f t="shared" ref="P130:P193" si="18">K130-L130</f>
        <v>5270000</v>
      </c>
      <c r="Q130" s="5">
        <v>33.72</v>
      </c>
      <c r="R130" s="6">
        <f t="shared" ref="R130:R193" si="19">Q130/J130</f>
        <v>13.542168674698793</v>
      </c>
      <c r="S130" s="27">
        <f t="shared" si="17"/>
        <v>4.9213924761370015E-2</v>
      </c>
      <c r="T130" s="27" t="s">
        <v>239</v>
      </c>
      <c r="U130" s="4"/>
      <c r="V130" s="4"/>
    </row>
    <row r="131" spans="1:22" s="6" customFormat="1" ht="17">
      <c r="A131" s="6" t="s">
        <v>134</v>
      </c>
      <c r="B131" s="6">
        <v>2014</v>
      </c>
      <c r="C131" s="9">
        <v>36011000</v>
      </c>
      <c r="D131" s="9">
        <v>14991000</v>
      </c>
      <c r="E131" s="4">
        <f t="shared" si="13"/>
        <v>21020000</v>
      </c>
      <c r="F131" s="4">
        <v>11258000</v>
      </c>
      <c r="G131" s="4">
        <v>9659000</v>
      </c>
      <c r="H131" s="3">
        <f t="shared" si="14"/>
        <v>1599000</v>
      </c>
      <c r="I131" s="3">
        <v>3046000</v>
      </c>
      <c r="J131" s="13">
        <v>4.4800000000000004</v>
      </c>
      <c r="K131" s="9">
        <v>5487000</v>
      </c>
      <c r="L131" s="4"/>
      <c r="M131" s="6">
        <v>-1746000</v>
      </c>
      <c r="N131" s="6">
        <f t="shared" ref="N131:N194" si="20">K131+M131</f>
        <v>3741000</v>
      </c>
      <c r="O131" s="4">
        <v>-1593000</v>
      </c>
      <c r="P131" s="4">
        <f t="shared" si="18"/>
        <v>5487000</v>
      </c>
      <c r="Q131" s="5">
        <v>35.520000000000003</v>
      </c>
      <c r="R131" s="6">
        <f t="shared" si="19"/>
        <v>7.9285714285714288</v>
      </c>
      <c r="S131" s="27">
        <f t="shared" si="17"/>
        <v>8.4585265613284832E-2</v>
      </c>
      <c r="T131" s="27" t="s">
        <v>239</v>
      </c>
      <c r="U131" s="4"/>
      <c r="V131" s="4"/>
    </row>
    <row r="132" spans="1:22" s="6" customFormat="1" ht="17">
      <c r="A132" s="6" t="s">
        <v>134</v>
      </c>
      <c r="B132" s="6">
        <v>2015</v>
      </c>
      <c r="C132" s="9">
        <v>32311000</v>
      </c>
      <c r="D132" s="9">
        <v>13758000</v>
      </c>
      <c r="E132" s="4">
        <f t="shared" si="13"/>
        <v>18553000</v>
      </c>
      <c r="F132" s="4">
        <v>4953000</v>
      </c>
      <c r="G132" s="4">
        <v>7106000</v>
      </c>
      <c r="H132" s="3">
        <f t="shared" si="14"/>
        <v>-2153000</v>
      </c>
      <c r="I132" s="3">
        <v>-2204000</v>
      </c>
      <c r="J132" s="13">
        <v>-3.26</v>
      </c>
      <c r="K132" s="9">
        <v>1537000</v>
      </c>
      <c r="L132" s="4"/>
      <c r="M132" s="6">
        <v>-3159000</v>
      </c>
      <c r="N132" s="6">
        <f t="shared" si="20"/>
        <v>-1622000</v>
      </c>
      <c r="O132" s="4">
        <v>451000</v>
      </c>
      <c r="P132" s="4">
        <f t="shared" si="18"/>
        <v>1537000</v>
      </c>
      <c r="Q132" s="5">
        <v>26.11</v>
      </c>
      <c r="R132" s="6">
        <f t="shared" si="19"/>
        <v>-8.0092024539877311</v>
      </c>
      <c r="S132" s="27">
        <f t="shared" si="17"/>
        <v>-6.8212064002971126E-2</v>
      </c>
      <c r="T132" s="27" t="s">
        <v>239</v>
      </c>
      <c r="U132" s="4"/>
      <c r="V132" s="4"/>
    </row>
    <row r="133" spans="1:22" s="6" customFormat="1" ht="17">
      <c r="A133" s="6" t="s">
        <v>134</v>
      </c>
      <c r="B133" s="6">
        <v>2016</v>
      </c>
      <c r="C133" s="9">
        <v>31094000</v>
      </c>
      <c r="D133" s="9">
        <v>2240000</v>
      </c>
      <c r="E133" s="4">
        <f t="shared" si="13"/>
        <v>28854000</v>
      </c>
      <c r="F133" s="4">
        <v>3787000</v>
      </c>
      <c r="G133" s="4">
        <v>4619000</v>
      </c>
      <c r="H133" s="3">
        <f t="shared" si="14"/>
        <v>-832000</v>
      </c>
      <c r="I133" s="3">
        <v>-2140000</v>
      </c>
      <c r="J133" s="13">
        <v>-2.61</v>
      </c>
      <c r="K133" s="9">
        <v>901000</v>
      </c>
      <c r="L133" s="4"/>
      <c r="M133" s="6">
        <v>-833000</v>
      </c>
      <c r="N133" s="6">
        <f t="shared" si="20"/>
        <v>68000</v>
      </c>
      <c r="O133" s="4">
        <v>1068000</v>
      </c>
      <c r="P133" s="4">
        <f t="shared" si="18"/>
        <v>901000</v>
      </c>
      <c r="Q133" s="5">
        <v>11.14</v>
      </c>
      <c r="R133" s="6">
        <f t="shared" si="19"/>
        <v>-4.2681992337164756</v>
      </c>
      <c r="S133" s="27">
        <f t="shared" si="17"/>
        <v>-6.8823567247700515E-2</v>
      </c>
      <c r="T133" s="27" t="s">
        <v>239</v>
      </c>
      <c r="U133" s="4"/>
      <c r="V133" s="4"/>
    </row>
    <row r="134" spans="1:22" s="6" customFormat="1" ht="17">
      <c r="A134" s="6" t="s">
        <v>134</v>
      </c>
      <c r="B134" s="6">
        <v>2017</v>
      </c>
      <c r="C134" s="9">
        <v>22012000</v>
      </c>
      <c r="D134" s="9">
        <v>1968000</v>
      </c>
      <c r="E134" s="4">
        <f t="shared" ref="E134:E166" si="21">C134-D134</f>
        <v>20044000</v>
      </c>
      <c r="F134" s="4">
        <v>4765000</v>
      </c>
      <c r="G134" s="4">
        <v>4898000</v>
      </c>
      <c r="H134" s="3">
        <f t="shared" si="14"/>
        <v>-133000</v>
      </c>
      <c r="I134" s="3">
        <v>-5723000</v>
      </c>
      <c r="J134" s="13">
        <v>-6.73</v>
      </c>
      <c r="K134" s="9">
        <v>1988000</v>
      </c>
      <c r="L134" s="4"/>
      <c r="M134" s="6">
        <v>-2044000</v>
      </c>
      <c r="N134" s="6">
        <f t="shared" si="20"/>
        <v>-56000</v>
      </c>
      <c r="O134" s="4">
        <v>-2003000</v>
      </c>
      <c r="P134" s="4">
        <f t="shared" si="18"/>
        <v>1988000</v>
      </c>
      <c r="Q134" s="5">
        <v>15.8</v>
      </c>
      <c r="R134" s="6">
        <f t="shared" si="19"/>
        <v>-2.3476968796433879</v>
      </c>
      <c r="S134" s="27">
        <f t="shared" si="17"/>
        <v>-0.25999454842813013</v>
      </c>
      <c r="T134" s="27" t="s">
        <v>239</v>
      </c>
      <c r="U134" s="4"/>
      <c r="V134" s="4"/>
    </row>
    <row r="135" spans="1:22" s="6" customFormat="1" ht="17">
      <c r="A135" s="6" t="s">
        <v>134</v>
      </c>
      <c r="B135" s="6">
        <v>2018</v>
      </c>
      <c r="C135" s="9">
        <v>21321000</v>
      </c>
      <c r="D135" s="9">
        <v>9193000</v>
      </c>
      <c r="E135" s="4">
        <f t="shared" si="21"/>
        <v>12128000</v>
      </c>
      <c r="F135" s="4">
        <v>6582000</v>
      </c>
      <c r="G135" s="4">
        <v>4915000</v>
      </c>
      <c r="H135" s="3">
        <f t="shared" si="14"/>
        <v>1667000</v>
      </c>
      <c r="I135" s="3">
        <v>1096000</v>
      </c>
      <c r="J135" s="13">
        <v>1.3</v>
      </c>
      <c r="K135" s="9">
        <v>3234000</v>
      </c>
      <c r="L135" s="4"/>
      <c r="M135" s="6">
        <v>-1470000</v>
      </c>
      <c r="N135" s="6">
        <f t="shared" si="20"/>
        <v>1764000</v>
      </c>
      <c r="O135" s="4">
        <v>-859000</v>
      </c>
      <c r="P135" s="4">
        <f t="shared" si="18"/>
        <v>3234000</v>
      </c>
      <c r="Q135" s="5">
        <v>16.13</v>
      </c>
      <c r="R135" s="6">
        <f t="shared" si="19"/>
        <v>12.407692307692306</v>
      </c>
      <c r="S135" s="27">
        <f t="shared" si="17"/>
        <v>5.140471835279771E-2</v>
      </c>
      <c r="T135" s="27" t="s">
        <v>239</v>
      </c>
      <c r="U135" s="4"/>
      <c r="V135" s="4"/>
    </row>
    <row r="136" spans="1:22" s="6" customFormat="1" ht="17">
      <c r="A136" s="6" t="s">
        <v>134</v>
      </c>
      <c r="B136" s="6">
        <v>2019</v>
      </c>
      <c r="C136" s="9">
        <v>20245000</v>
      </c>
      <c r="D136" s="9">
        <v>8092000</v>
      </c>
      <c r="E136" s="4">
        <f t="shared" si="21"/>
        <v>12153000</v>
      </c>
      <c r="F136" s="4">
        <v>5190000</v>
      </c>
      <c r="G136" s="4">
        <v>4554000</v>
      </c>
      <c r="H136" s="3">
        <f t="shared" ref="H136:H199" si="22">F136-G136</f>
        <v>636000</v>
      </c>
      <c r="I136" s="3">
        <v>480000</v>
      </c>
      <c r="J136" s="13">
        <v>0.59</v>
      </c>
      <c r="K136" s="9">
        <v>2749000</v>
      </c>
      <c r="L136" s="4"/>
      <c r="M136" s="6">
        <v>-2818000</v>
      </c>
      <c r="N136" s="6">
        <f t="shared" si="20"/>
        <v>-69000</v>
      </c>
      <c r="O136" s="4">
        <v>-535000</v>
      </c>
      <c r="P136" s="4">
        <f t="shared" si="18"/>
        <v>2749000</v>
      </c>
      <c r="Q136" s="5">
        <v>16.71</v>
      </c>
      <c r="R136" s="6">
        <f t="shared" si="19"/>
        <v>28.322033898305087</v>
      </c>
      <c r="S136" s="27">
        <f t="shared" si="17"/>
        <v>2.3709557915534699E-2</v>
      </c>
      <c r="T136" s="27" t="s">
        <v>239</v>
      </c>
      <c r="U136" s="4"/>
      <c r="V136" s="4"/>
    </row>
    <row r="137" spans="1:22" s="6" customFormat="1" ht="17">
      <c r="A137" s="6" t="s">
        <v>134</v>
      </c>
      <c r="B137" s="6">
        <v>2020</v>
      </c>
      <c r="C137" s="9">
        <v>17956000</v>
      </c>
      <c r="D137" s="9">
        <v>7395000</v>
      </c>
      <c r="E137" s="4">
        <f t="shared" si="21"/>
        <v>10561000</v>
      </c>
      <c r="F137" s="4">
        <v>3086000</v>
      </c>
      <c r="G137" s="4">
        <v>4266000</v>
      </c>
      <c r="H137" s="3">
        <f t="shared" si="22"/>
        <v>-1180000</v>
      </c>
      <c r="I137" s="3">
        <v>-1451000</v>
      </c>
      <c r="J137" s="13">
        <v>-1.83</v>
      </c>
      <c r="K137" s="9">
        <v>1473000</v>
      </c>
      <c r="L137" s="4"/>
      <c r="M137" s="6">
        <v>-1303000</v>
      </c>
      <c r="N137" s="6">
        <f t="shared" si="20"/>
        <v>170000</v>
      </c>
      <c r="O137" s="4">
        <f>-(286000)</f>
        <v>-286000</v>
      </c>
      <c r="P137" s="4">
        <f t="shared" si="18"/>
        <v>1473000</v>
      </c>
      <c r="Q137" s="5">
        <v>3.29</v>
      </c>
      <c r="R137" s="6">
        <f t="shared" si="19"/>
        <v>-1.7978142076502732</v>
      </c>
      <c r="S137" s="27">
        <f t="shared" si="17"/>
        <v>-8.0808643350412115E-2</v>
      </c>
      <c r="T137" s="27" t="s">
        <v>239</v>
      </c>
      <c r="U137" s="4"/>
      <c r="V137" s="4"/>
    </row>
    <row r="138" spans="1:22" s="6" customFormat="1" ht="17">
      <c r="A138" s="6" t="s">
        <v>134</v>
      </c>
      <c r="B138" s="6">
        <v>2021</v>
      </c>
      <c r="C138" s="9">
        <v>16994000</v>
      </c>
      <c r="D138" s="9">
        <v>6308000</v>
      </c>
      <c r="E138" s="4">
        <f t="shared" si="21"/>
        <v>10686000</v>
      </c>
      <c r="F138" s="4">
        <v>5467000</v>
      </c>
      <c r="G138" s="4">
        <v>4159000</v>
      </c>
      <c r="H138" s="3">
        <f t="shared" si="22"/>
        <v>1308000</v>
      </c>
      <c r="I138" s="3">
        <v>946000</v>
      </c>
      <c r="J138" s="13">
        <v>1.2</v>
      </c>
      <c r="K138" s="9">
        <v>3239000</v>
      </c>
      <c r="L138" s="4"/>
      <c r="M138" s="6">
        <v>-1010000</v>
      </c>
      <c r="N138" s="6">
        <f t="shared" si="20"/>
        <v>2229000</v>
      </c>
      <c r="O138" s="4">
        <v>-2391000</v>
      </c>
      <c r="P138" s="4">
        <f t="shared" si="18"/>
        <v>3239000</v>
      </c>
      <c r="Q138" s="5">
        <v>10.68</v>
      </c>
      <c r="R138" s="6">
        <f t="shared" si="19"/>
        <v>8.9</v>
      </c>
      <c r="S138" s="27">
        <f t="shared" si="17"/>
        <v>5.5666705896198661E-2</v>
      </c>
      <c r="T138" s="27" t="s">
        <v>239</v>
      </c>
      <c r="U138" s="4"/>
      <c r="V138" s="4"/>
    </row>
    <row r="139" spans="1:22" s="6" customFormat="1" ht="17">
      <c r="A139" s="6" t="s">
        <v>134</v>
      </c>
      <c r="B139" s="6">
        <v>2022</v>
      </c>
      <c r="C139" s="9">
        <v>19940000</v>
      </c>
      <c r="D139" s="9">
        <v>8543000</v>
      </c>
      <c r="E139" s="4">
        <f t="shared" si="21"/>
        <v>11397000</v>
      </c>
      <c r="F139" s="4">
        <v>8036000</v>
      </c>
      <c r="G139" s="4">
        <v>4085000</v>
      </c>
      <c r="H139" s="3">
        <f t="shared" si="22"/>
        <v>3951000</v>
      </c>
      <c r="I139" s="3">
        <v>3612000</v>
      </c>
      <c r="J139" s="13">
        <v>5.27</v>
      </c>
      <c r="K139" s="9">
        <v>5428000</v>
      </c>
      <c r="L139" s="4"/>
      <c r="M139" s="6">
        <v>-4605000</v>
      </c>
      <c r="N139" s="6">
        <f t="shared" si="20"/>
        <v>823000</v>
      </c>
      <c r="O139" s="4">
        <v>-1069000</v>
      </c>
      <c r="P139" s="4">
        <f t="shared" si="18"/>
        <v>5428000</v>
      </c>
      <c r="Q139" s="5">
        <v>25.11</v>
      </c>
      <c r="R139" s="6">
        <f t="shared" si="19"/>
        <v>4.7647058823529411</v>
      </c>
      <c r="S139" s="27">
        <f t="shared" si="17"/>
        <v>0.18114343029087263</v>
      </c>
      <c r="T139" s="27" t="s">
        <v>239</v>
      </c>
      <c r="U139" s="4"/>
      <c r="V139" s="4"/>
    </row>
    <row r="140" spans="1:22" s="6" customFormat="1" ht="17">
      <c r="A140" s="6" t="s">
        <v>145</v>
      </c>
      <c r="B140" s="6">
        <v>2019</v>
      </c>
      <c r="C140" s="9">
        <v>21487000</v>
      </c>
      <c r="D140" s="9">
        <v>11557000</v>
      </c>
      <c r="E140" s="4">
        <f t="shared" si="21"/>
        <v>9930000</v>
      </c>
      <c r="F140" s="4">
        <v>6726000</v>
      </c>
      <c r="G140" s="4">
        <v>6128000</v>
      </c>
      <c r="H140" s="3">
        <f t="shared" si="22"/>
        <v>598000</v>
      </c>
      <c r="I140" s="3">
        <v>234000</v>
      </c>
      <c r="J140" s="13">
        <v>0.9</v>
      </c>
      <c r="K140" s="9">
        <v>2921000</v>
      </c>
      <c r="L140" s="4"/>
      <c r="M140" s="6">
        <v>-2556000</v>
      </c>
      <c r="N140" s="6">
        <f t="shared" si="20"/>
        <v>365000</v>
      </c>
      <c r="O140" s="4">
        <v>-1238000</v>
      </c>
      <c r="P140" s="4">
        <f t="shared" si="18"/>
        <v>2921000</v>
      </c>
      <c r="Q140" s="5">
        <v>36.200000000000003</v>
      </c>
      <c r="R140" s="6">
        <f t="shared" si="19"/>
        <v>40.222222222222221</v>
      </c>
      <c r="S140" s="27">
        <f t="shared" si="17"/>
        <v>1.0890305766277284E-2</v>
      </c>
      <c r="T140" s="27" t="s">
        <v>239</v>
      </c>
      <c r="U140" s="4"/>
      <c r="V140" s="4"/>
    </row>
    <row r="141" spans="1:22" s="6" customFormat="1" ht="17">
      <c r="A141" s="6" t="s">
        <v>145</v>
      </c>
      <c r="B141" s="6">
        <v>2020</v>
      </c>
      <c r="C141" s="9">
        <v>14469000</v>
      </c>
      <c r="D141" s="9">
        <v>10632000</v>
      </c>
      <c r="E141" s="4">
        <f t="shared" si="21"/>
        <v>3837000</v>
      </c>
      <c r="F141" s="4">
        <v>6087000</v>
      </c>
      <c r="G141" s="4">
        <v>11484000</v>
      </c>
      <c r="H141" s="3">
        <f t="shared" si="22"/>
        <v>-5397000</v>
      </c>
      <c r="I141" s="3">
        <v>-6097000</v>
      </c>
      <c r="J141" s="13">
        <v>-23.47</v>
      </c>
      <c r="K141" s="9">
        <v>1895000</v>
      </c>
      <c r="L141" s="4"/>
      <c r="M141" s="6">
        <v>-1864000</v>
      </c>
      <c r="N141" s="6">
        <f t="shared" si="20"/>
        <v>31000</v>
      </c>
      <c r="O141" s="4">
        <v>-206000</v>
      </c>
      <c r="P141" s="4">
        <f t="shared" si="18"/>
        <v>1895000</v>
      </c>
      <c r="Q141" s="5">
        <v>2.7</v>
      </c>
      <c r="R141" s="6">
        <f t="shared" si="19"/>
        <v>-0.1150404772049425</v>
      </c>
      <c r="S141" s="27">
        <f t="shared" si="17"/>
        <v>-0.42138364779874216</v>
      </c>
      <c r="T141" s="27" t="s">
        <v>239</v>
      </c>
      <c r="U141" s="4"/>
      <c r="V141" s="4"/>
    </row>
    <row r="142" spans="1:22" s="6" customFormat="1" ht="17">
      <c r="A142" s="6" t="s">
        <v>145</v>
      </c>
      <c r="B142" s="6">
        <v>2021</v>
      </c>
      <c r="C142" s="9">
        <v>14055000</v>
      </c>
      <c r="D142" s="9">
        <v>8981000</v>
      </c>
      <c r="E142" s="4">
        <f t="shared" si="21"/>
        <v>5074000</v>
      </c>
      <c r="F142" s="4">
        <v>8658000</v>
      </c>
      <c r="G142" s="4">
        <v>7139000</v>
      </c>
      <c r="H142" s="3">
        <f t="shared" si="22"/>
        <v>1519000</v>
      </c>
      <c r="I142" s="3">
        <v>1416000</v>
      </c>
      <c r="J142" s="13">
        <v>5.44</v>
      </c>
      <c r="K142" s="9">
        <v>3129000</v>
      </c>
      <c r="L142" s="4"/>
      <c r="M142" s="6">
        <v>-525000</v>
      </c>
      <c r="N142" s="6">
        <f t="shared" si="20"/>
        <v>2604000</v>
      </c>
      <c r="O142" s="4">
        <v>-2419000</v>
      </c>
      <c r="P142" s="4">
        <f t="shared" si="18"/>
        <v>3129000</v>
      </c>
      <c r="Q142" s="5">
        <v>23.82</v>
      </c>
      <c r="R142" s="6">
        <f t="shared" si="19"/>
        <v>4.3786764705882346</v>
      </c>
      <c r="S142" s="27">
        <f t="shared" ref="S142:S173" si="23">I142/C142</f>
        <v>0.10074706510138741</v>
      </c>
      <c r="T142" s="27" t="s">
        <v>239</v>
      </c>
      <c r="U142" s="4"/>
      <c r="V142" s="4"/>
    </row>
    <row r="143" spans="1:22" s="6" customFormat="1" ht="17">
      <c r="A143" s="6" t="s">
        <v>145</v>
      </c>
      <c r="B143" s="6">
        <v>2022</v>
      </c>
      <c r="C143" s="9">
        <v>15056000</v>
      </c>
      <c r="D143" s="9">
        <v>7367000</v>
      </c>
      <c r="E143" s="4">
        <f>C143-D143</f>
        <v>7689000</v>
      </c>
      <c r="F143" s="4">
        <v>12464000</v>
      </c>
      <c r="G143" s="4">
        <v>8611000</v>
      </c>
      <c r="H143" s="3">
        <f t="shared" si="22"/>
        <v>3853000</v>
      </c>
      <c r="I143" s="3">
        <v>3637000</v>
      </c>
      <c r="J143" s="13">
        <v>14.34</v>
      </c>
      <c r="K143" s="9">
        <v>3866000</v>
      </c>
      <c r="L143" s="4"/>
      <c r="M143" s="6">
        <v>-1786000</v>
      </c>
      <c r="N143" s="6">
        <f t="shared" si="20"/>
        <v>2080000</v>
      </c>
      <c r="O143" s="4">
        <v>-2268000</v>
      </c>
      <c r="P143" s="4">
        <f t="shared" si="18"/>
        <v>3866000</v>
      </c>
      <c r="Q143" s="5">
        <v>54.07</v>
      </c>
      <c r="R143" s="6">
        <f t="shared" si="19"/>
        <v>3.7705718270571826</v>
      </c>
      <c r="S143" s="27">
        <f t="shared" si="23"/>
        <v>0.24156482465462273</v>
      </c>
      <c r="T143" s="27" t="s">
        <v>239</v>
      </c>
      <c r="U143" s="4"/>
      <c r="V143" s="4"/>
    </row>
    <row r="144" spans="1:22" s="6" customFormat="1" ht="17">
      <c r="A144" s="6" t="s">
        <v>150</v>
      </c>
      <c r="B144" s="6">
        <v>2022</v>
      </c>
      <c r="C144" s="9">
        <v>8492592</v>
      </c>
      <c r="D144" s="9">
        <v>2836296</v>
      </c>
      <c r="E144" s="4">
        <f t="shared" si="21"/>
        <v>5656296</v>
      </c>
      <c r="F144" s="4">
        <v>2131265</v>
      </c>
      <c r="G144" s="4">
        <v>1122415</v>
      </c>
      <c r="H144" s="3">
        <f t="shared" si="22"/>
        <v>1008850</v>
      </c>
      <c r="I144" s="3">
        <v>515037</v>
      </c>
      <c r="J144" s="13">
        <v>1.8</v>
      </c>
      <c r="K144" s="9">
        <v>1371671</v>
      </c>
      <c r="L144" s="4"/>
      <c r="M144" s="6">
        <v>-1205049</v>
      </c>
      <c r="N144" s="6">
        <f t="shared" si="20"/>
        <v>166622</v>
      </c>
      <c r="O144" s="4">
        <v>-106625</v>
      </c>
      <c r="P144" s="4">
        <f t="shared" si="18"/>
        <v>1371671</v>
      </c>
      <c r="Q144" s="5">
        <v>8.07</v>
      </c>
      <c r="R144" s="6">
        <f t="shared" si="19"/>
        <v>4.4833333333333334</v>
      </c>
      <c r="S144" s="27">
        <f t="shared" si="23"/>
        <v>6.064544252214165E-2</v>
      </c>
      <c r="T144" s="27" t="s">
        <v>239</v>
      </c>
      <c r="U144" s="4"/>
      <c r="V144" s="4"/>
    </row>
    <row r="145" spans="1:22" s="6" customFormat="1" ht="17">
      <c r="A145" s="6" t="s">
        <v>152</v>
      </c>
      <c r="B145" s="6">
        <v>2012</v>
      </c>
      <c r="C145" s="9">
        <v>13069030</v>
      </c>
      <c r="D145" s="9">
        <f>C145-E145</f>
        <v>7201722</v>
      </c>
      <c r="E145" s="4">
        <v>5867308</v>
      </c>
      <c r="F145" s="4">
        <v>3009000</v>
      </c>
      <c r="G145" s="4">
        <v>2177000</v>
      </c>
      <c r="H145" s="3">
        <f t="shared" si="22"/>
        <v>832000</v>
      </c>
      <c r="I145" s="3">
        <v>192000</v>
      </c>
      <c r="J145" s="13">
        <v>1.54</v>
      </c>
      <c r="K145" s="9">
        <v>1837000</v>
      </c>
      <c r="L145" s="4"/>
      <c r="M145" s="6">
        <v>-3256000</v>
      </c>
      <c r="N145" s="6">
        <f t="shared" si="20"/>
        <v>-1419000</v>
      </c>
      <c r="O145" s="4">
        <v>1111000</v>
      </c>
      <c r="P145" s="4">
        <f t="shared" si="18"/>
        <v>1837000</v>
      </c>
      <c r="Q145" s="5">
        <v>111.59</v>
      </c>
      <c r="R145" s="6">
        <f t="shared" si="19"/>
        <v>72.461038961038966</v>
      </c>
      <c r="S145" s="27">
        <f t="shared" si="23"/>
        <v>1.4691220388965363E-2</v>
      </c>
      <c r="T145" s="27" t="s">
        <v>239</v>
      </c>
      <c r="U145" s="4"/>
      <c r="V145" s="4"/>
    </row>
    <row r="146" spans="1:22" s="6" customFormat="1" ht="17">
      <c r="A146" s="6" t="s">
        <v>152</v>
      </c>
      <c r="B146" s="6">
        <v>2013</v>
      </c>
      <c r="C146" s="9">
        <v>12294000</v>
      </c>
      <c r="D146" s="9">
        <f t="shared" ref="D146:D155" si="24">C146-E146</f>
        <v>5679000</v>
      </c>
      <c r="E146" s="4">
        <v>6615000</v>
      </c>
      <c r="F146" s="4">
        <v>3652000</v>
      </c>
      <c r="G146" s="4">
        <v>4226000</v>
      </c>
      <c r="H146" s="3">
        <f t="shared" si="22"/>
        <v>-574000</v>
      </c>
      <c r="I146" s="3">
        <v>-838000</v>
      </c>
      <c r="J146" s="13">
        <v>-6.16</v>
      </c>
      <c r="K146" s="9">
        <v>2146000</v>
      </c>
      <c r="L146" s="4"/>
      <c r="M146" s="6">
        <v>-2140000</v>
      </c>
      <c r="N146" s="6">
        <f t="shared" si="20"/>
        <v>6000</v>
      </c>
      <c r="O146" s="4">
        <v>158000</v>
      </c>
      <c r="P146" s="4">
        <f t="shared" si="18"/>
        <v>2146000</v>
      </c>
      <c r="Q146" s="5">
        <v>124.25</v>
      </c>
      <c r="R146" s="6">
        <f t="shared" si="19"/>
        <v>-20.170454545454547</v>
      </c>
      <c r="S146" s="27">
        <f t="shared" si="23"/>
        <v>-6.8163331706523514E-2</v>
      </c>
      <c r="T146" s="27" t="s">
        <v>239</v>
      </c>
      <c r="U146" s="4"/>
      <c r="V146" s="4"/>
    </row>
    <row r="147" spans="1:22" s="6" customFormat="1" ht="17">
      <c r="A147" s="6" t="s">
        <v>152</v>
      </c>
      <c r="B147" s="6">
        <v>2014</v>
      </c>
      <c r="C147" s="9">
        <v>14926000</v>
      </c>
      <c r="D147" s="9">
        <f t="shared" si="24"/>
        <v>6337000</v>
      </c>
      <c r="E147" s="4">
        <v>8589000</v>
      </c>
      <c r="F147" s="4">
        <v>5055000</v>
      </c>
      <c r="G147" s="4">
        <v>3458000</v>
      </c>
      <c r="H147" s="3">
        <f t="shared" si="22"/>
        <v>1597000</v>
      </c>
      <c r="I147" s="3">
        <v>930000</v>
      </c>
      <c r="J147" s="13">
        <v>6.4</v>
      </c>
      <c r="K147" s="9">
        <v>2366000</v>
      </c>
      <c r="L147" s="4"/>
      <c r="M147" s="6">
        <v>-2699000</v>
      </c>
      <c r="N147" s="6">
        <f t="shared" si="20"/>
        <v>-333000</v>
      </c>
      <c r="O147" s="4">
        <v>965000</v>
      </c>
      <c r="P147" s="4">
        <f t="shared" si="18"/>
        <v>2366000</v>
      </c>
      <c r="Q147" s="5">
        <v>187.14</v>
      </c>
      <c r="R147" s="6">
        <f t="shared" si="19"/>
        <v>29.240624999999998</v>
      </c>
      <c r="S147" s="27">
        <f t="shared" si="23"/>
        <v>6.2307383089910226E-2</v>
      </c>
      <c r="T147" s="27" t="s">
        <v>239</v>
      </c>
      <c r="U147" s="4"/>
      <c r="V147" s="4"/>
    </row>
    <row r="148" spans="1:22" s="6" customFormat="1" ht="17">
      <c r="A148" s="6" t="s">
        <v>152</v>
      </c>
      <c r="B148" s="6">
        <v>2015</v>
      </c>
      <c r="C148" s="9">
        <v>15154000</v>
      </c>
      <c r="D148" s="9">
        <f t="shared" si="24"/>
        <v>6779000</v>
      </c>
      <c r="E148" s="4">
        <v>8375000</v>
      </c>
      <c r="F148" s="4">
        <v>4561000</v>
      </c>
      <c r="G148" s="4">
        <v>4982000</v>
      </c>
      <c r="H148" s="3">
        <f t="shared" si="22"/>
        <v>-421000</v>
      </c>
      <c r="I148" s="3">
        <v>-273000</v>
      </c>
      <c r="J148" s="13">
        <v>-1.79</v>
      </c>
      <c r="K148" s="9">
        <v>1255000</v>
      </c>
      <c r="L148" s="4"/>
      <c r="M148" s="6">
        <v>-1840000</v>
      </c>
      <c r="N148" s="6">
        <f t="shared" si="20"/>
        <v>-585000</v>
      </c>
      <c r="O148" s="4">
        <v>951000</v>
      </c>
      <c r="P148" s="4">
        <f t="shared" si="18"/>
        <v>1255000</v>
      </c>
      <c r="Q148" s="5">
        <v>163.51</v>
      </c>
      <c r="R148" s="6">
        <f t="shared" si="19"/>
        <v>-91.346368715083798</v>
      </c>
      <c r="S148" s="27">
        <f t="shared" si="23"/>
        <v>-1.8015045532532664E-2</v>
      </c>
      <c r="T148" s="27" t="s">
        <v>239</v>
      </c>
      <c r="U148" s="4"/>
      <c r="V148" s="4"/>
    </row>
    <row r="149" spans="1:22" s="6" customFormat="1" ht="17">
      <c r="A149" s="6" t="s">
        <v>152</v>
      </c>
      <c r="B149" s="6">
        <v>2016</v>
      </c>
      <c r="C149" s="9">
        <v>16459000</v>
      </c>
      <c r="D149" s="9">
        <f t="shared" si="24"/>
        <v>6048000</v>
      </c>
      <c r="E149" s="4">
        <v>10411000</v>
      </c>
      <c r="F149" s="4">
        <v>3382000</v>
      </c>
      <c r="G149" s="4">
        <v>4341000</v>
      </c>
      <c r="H149" s="3">
        <f t="shared" si="22"/>
        <v>-959000</v>
      </c>
      <c r="I149" s="3">
        <v>-556000</v>
      </c>
      <c r="J149" s="13">
        <v>-3.34</v>
      </c>
      <c r="K149" s="9">
        <v>1499000</v>
      </c>
      <c r="L149" s="4"/>
      <c r="M149" s="6">
        <v>-3820000</v>
      </c>
      <c r="N149" s="6">
        <f t="shared" si="20"/>
        <v>-2321000</v>
      </c>
      <c r="O149" s="4">
        <v>2048000</v>
      </c>
      <c r="P149" s="4">
        <f t="shared" si="18"/>
        <v>1499000</v>
      </c>
      <c r="Q149" s="5">
        <v>140.74</v>
      </c>
      <c r="R149" s="6">
        <f t="shared" si="19"/>
        <v>-42.137724550898206</v>
      </c>
      <c r="S149" s="27">
        <f t="shared" si="23"/>
        <v>-3.3780910140348744E-2</v>
      </c>
      <c r="T149" s="27" t="s">
        <v>239</v>
      </c>
      <c r="U149" s="4"/>
      <c r="V149" s="4"/>
    </row>
    <row r="150" spans="1:22" s="6" customFormat="1" ht="17">
      <c r="A150" s="6" t="s">
        <v>152</v>
      </c>
      <c r="B150" s="6">
        <v>2017</v>
      </c>
      <c r="C150" s="9">
        <v>17003000</v>
      </c>
      <c r="D150" s="9">
        <f t="shared" si="24"/>
        <v>5724000</v>
      </c>
      <c r="E150" s="4">
        <v>11279000</v>
      </c>
      <c r="F150" s="4">
        <v>5455000</v>
      </c>
      <c r="G150" s="4">
        <v>5146000</v>
      </c>
      <c r="H150" s="3">
        <f t="shared" si="22"/>
        <v>309000</v>
      </c>
      <c r="I150" s="3">
        <v>833000</v>
      </c>
      <c r="J150" s="13">
        <v>4.8600000000000003</v>
      </c>
      <c r="K150" s="9">
        <v>2090000</v>
      </c>
      <c r="L150" s="4"/>
      <c r="M150" s="6">
        <v>-1783000</v>
      </c>
      <c r="N150" s="6">
        <f t="shared" si="20"/>
        <v>307000</v>
      </c>
      <c r="O150" s="4">
        <v>-529000</v>
      </c>
      <c r="P150" s="4">
        <f t="shared" si="18"/>
        <v>2090000</v>
      </c>
      <c r="Q150" s="5">
        <v>186.23</v>
      </c>
      <c r="R150" s="6">
        <f t="shared" si="19"/>
        <v>38.318930041152257</v>
      </c>
      <c r="S150" s="27">
        <f t="shared" si="23"/>
        <v>4.8991354466858789E-2</v>
      </c>
      <c r="T150" s="27" t="s">
        <v>239</v>
      </c>
      <c r="U150" s="4"/>
      <c r="V150" s="4"/>
    </row>
    <row r="151" spans="1:22" s="6" customFormat="1" ht="17">
      <c r="A151" s="6" t="s">
        <v>152</v>
      </c>
      <c r="B151" s="6">
        <v>2018</v>
      </c>
      <c r="C151" s="9">
        <v>17903000</v>
      </c>
      <c r="D151" s="9">
        <f t="shared" si="24"/>
        <v>5792000</v>
      </c>
      <c r="E151" s="4">
        <v>12111000</v>
      </c>
      <c r="F151" s="4">
        <v>9415000</v>
      </c>
      <c r="G151" s="4">
        <v>8164000</v>
      </c>
      <c r="H151" s="3">
        <f t="shared" si="22"/>
        <v>1251000</v>
      </c>
      <c r="I151" s="3">
        <v>978000</v>
      </c>
      <c r="J151" s="13">
        <v>5.71</v>
      </c>
      <c r="K151" s="9">
        <v>3242000</v>
      </c>
      <c r="L151" s="4"/>
      <c r="M151" s="6">
        <v>-2610000</v>
      </c>
      <c r="N151" s="6">
        <f t="shared" si="20"/>
        <v>632000</v>
      </c>
      <c r="O151" s="4">
        <v>-703000</v>
      </c>
      <c r="P151" s="4">
        <f t="shared" si="18"/>
        <v>3242000</v>
      </c>
      <c r="Q151" s="5">
        <v>171.78</v>
      </c>
      <c r="R151" s="6">
        <f t="shared" si="19"/>
        <v>30.084063047285465</v>
      </c>
      <c r="S151" s="27">
        <f t="shared" si="23"/>
        <v>5.4627716025247165E-2</v>
      </c>
      <c r="T151" s="27" t="s">
        <v>239</v>
      </c>
      <c r="U151" s="4"/>
      <c r="V151" s="4"/>
    </row>
    <row r="152" spans="1:22" s="6" customFormat="1" ht="17">
      <c r="A152" s="6" t="s">
        <v>152</v>
      </c>
      <c r="B152" s="6">
        <v>2019</v>
      </c>
      <c r="C152" s="9">
        <v>19088000</v>
      </c>
      <c r="D152" s="9">
        <f t="shared" si="24"/>
        <v>6952000</v>
      </c>
      <c r="E152" s="4">
        <v>12136000</v>
      </c>
      <c r="F152" s="4">
        <v>9325000</v>
      </c>
      <c r="G152" s="4">
        <v>8317000</v>
      </c>
      <c r="H152" s="3">
        <f t="shared" si="22"/>
        <v>1008000</v>
      </c>
      <c r="I152" s="3">
        <v>773000</v>
      </c>
      <c r="J152" s="13">
        <v>4.5999999999999996</v>
      </c>
      <c r="K152" s="9">
        <v>3115000</v>
      </c>
      <c r="L152" s="4"/>
      <c r="M152" s="6">
        <v>-2447000</v>
      </c>
      <c r="N152" s="6">
        <f t="shared" si="20"/>
        <v>668000</v>
      </c>
      <c r="O152" s="4">
        <v>-788000</v>
      </c>
      <c r="P152" s="4">
        <f t="shared" si="18"/>
        <v>3115000</v>
      </c>
      <c r="Q152" s="5">
        <v>152.28</v>
      </c>
      <c r="R152" s="6">
        <f t="shared" si="19"/>
        <v>33.104347826086958</v>
      </c>
      <c r="S152" s="27">
        <f t="shared" si="23"/>
        <v>4.0496647108130765E-2</v>
      </c>
      <c r="T152" s="27" t="s">
        <v>239</v>
      </c>
      <c r="U152" s="4"/>
      <c r="V152" s="4"/>
    </row>
    <row r="153" spans="1:22" s="6" customFormat="1" ht="17">
      <c r="A153" s="6" t="s">
        <v>152</v>
      </c>
      <c r="B153" s="6">
        <v>2020</v>
      </c>
      <c r="C153" s="9">
        <v>19229000</v>
      </c>
      <c r="D153" s="9">
        <f t="shared" si="24"/>
        <v>7660000</v>
      </c>
      <c r="E153" s="4">
        <v>11569000</v>
      </c>
      <c r="F153" s="4">
        <v>6685000</v>
      </c>
      <c r="G153" s="4">
        <v>6946000</v>
      </c>
      <c r="H153" s="3">
        <f t="shared" si="22"/>
        <v>-261000</v>
      </c>
      <c r="I153" s="3">
        <v>-200000</v>
      </c>
      <c r="J153" s="13">
        <v>-1.21</v>
      </c>
      <c r="K153" s="9">
        <v>2083000</v>
      </c>
      <c r="L153" s="4"/>
      <c r="M153" s="6">
        <v>-1668000</v>
      </c>
      <c r="N153" s="6">
        <f t="shared" si="20"/>
        <v>415000</v>
      </c>
      <c r="O153" s="4">
        <v>381000</v>
      </c>
      <c r="P153" s="4">
        <f t="shared" si="18"/>
        <v>2083000</v>
      </c>
      <c r="Q153" s="5">
        <v>70.150000000000006</v>
      </c>
      <c r="R153" s="6">
        <f t="shared" si="19"/>
        <v>-57.975206611570258</v>
      </c>
      <c r="S153" s="27">
        <f t="shared" si="23"/>
        <v>-1.04009568880337E-2</v>
      </c>
      <c r="T153" s="27" t="s">
        <v>239</v>
      </c>
      <c r="U153" s="4"/>
      <c r="V153" s="4"/>
    </row>
    <row r="154" spans="1:22" s="6" customFormat="1" ht="17">
      <c r="A154" s="6" t="s">
        <v>152</v>
      </c>
      <c r="B154" s="6">
        <v>2021</v>
      </c>
      <c r="C154" s="9">
        <v>36811000</v>
      </c>
      <c r="D154" s="9">
        <f t="shared" si="24"/>
        <v>13974000</v>
      </c>
      <c r="E154" s="4">
        <v>22837000</v>
      </c>
      <c r="F154" s="4">
        <v>14643000</v>
      </c>
      <c r="G154" s="4">
        <v>11897000</v>
      </c>
      <c r="H154" s="3">
        <f t="shared" si="22"/>
        <v>2746000</v>
      </c>
      <c r="I154" s="3">
        <v>2118000</v>
      </c>
      <c r="J154" s="13">
        <v>9.06</v>
      </c>
      <c r="K154" s="9">
        <v>6046000</v>
      </c>
      <c r="L154" s="4"/>
      <c r="M154" s="6">
        <v>-856000</v>
      </c>
      <c r="N154" s="6">
        <f t="shared" si="20"/>
        <v>5190000</v>
      </c>
      <c r="O154" s="4">
        <v>-2807000</v>
      </c>
      <c r="P154" s="4">
        <f t="shared" si="18"/>
        <v>6046000</v>
      </c>
      <c r="Q154" s="5">
        <v>158.82</v>
      </c>
      <c r="R154" s="6">
        <f t="shared" si="19"/>
        <v>17.52980132450331</v>
      </c>
      <c r="S154" s="27">
        <f t="shared" si="23"/>
        <v>5.7537149221700036E-2</v>
      </c>
      <c r="T154" s="27" t="s">
        <v>239</v>
      </c>
      <c r="U154" s="4"/>
      <c r="V154" s="4"/>
    </row>
    <row r="155" spans="1:22" s="6" customFormat="1" ht="17">
      <c r="A155" s="6" t="s">
        <v>152</v>
      </c>
      <c r="B155" s="6">
        <v>2022</v>
      </c>
      <c r="C155" s="9">
        <v>35740000</v>
      </c>
      <c r="D155" s="9">
        <f t="shared" si="24"/>
        <v>13199000</v>
      </c>
      <c r="E155" s="4">
        <v>22541000</v>
      </c>
      <c r="F155" s="4">
        <v>24294000</v>
      </c>
      <c r="G155" s="4">
        <v>14343000</v>
      </c>
      <c r="H155" s="3">
        <f t="shared" si="22"/>
        <v>9951000</v>
      </c>
      <c r="I155" s="3">
        <v>7845000</v>
      </c>
      <c r="J155" s="13">
        <v>32.61</v>
      </c>
      <c r="K155" s="9">
        <v>11348000</v>
      </c>
      <c r="L155" s="4"/>
      <c r="M155" s="6">
        <v>-3586000</v>
      </c>
      <c r="N155" s="6">
        <f t="shared" si="20"/>
        <v>7762000</v>
      </c>
      <c r="O155" s="4">
        <v>-10614000</v>
      </c>
      <c r="P155" s="4">
        <f t="shared" si="18"/>
        <v>11348000</v>
      </c>
      <c r="Q155" s="5">
        <v>250</v>
      </c>
      <c r="R155" s="6">
        <f t="shared" si="19"/>
        <v>7.6663600122661766</v>
      </c>
      <c r="S155" s="27">
        <f t="shared" si="23"/>
        <v>0.21950195858981533</v>
      </c>
      <c r="T155" s="27" t="s">
        <v>239</v>
      </c>
      <c r="U155" s="4"/>
      <c r="V155" s="4"/>
    </row>
    <row r="156" spans="1:22" s="6" customFormat="1" ht="17">
      <c r="A156" s="6" t="s">
        <v>164</v>
      </c>
      <c r="B156" s="6">
        <v>2012</v>
      </c>
      <c r="C156" s="9">
        <v>6728735</v>
      </c>
      <c r="D156" s="9">
        <v>4371343</v>
      </c>
      <c r="E156" s="4">
        <f t="shared" si="21"/>
        <v>2357392</v>
      </c>
      <c r="F156" s="4">
        <v>1457704</v>
      </c>
      <c r="G156" s="4">
        <v>1432648</v>
      </c>
      <c r="H156" s="3">
        <f t="shared" si="22"/>
        <v>25056</v>
      </c>
      <c r="I156" s="3">
        <v>13002</v>
      </c>
      <c r="J156" s="13">
        <v>0.08</v>
      </c>
      <c r="K156" s="9">
        <v>647099</v>
      </c>
      <c r="L156" s="4"/>
      <c r="M156" s="6">
        <v>-1528558</v>
      </c>
      <c r="N156" s="6">
        <f t="shared" si="20"/>
        <v>-881459</v>
      </c>
      <c r="O156" s="4">
        <v>881619</v>
      </c>
      <c r="P156" s="4">
        <f t="shared" si="18"/>
        <v>647099</v>
      </c>
      <c r="Q156" s="5">
        <v>58.14</v>
      </c>
      <c r="R156" s="6">
        <f t="shared" si="19"/>
        <v>726.75</v>
      </c>
      <c r="S156" s="27">
        <f t="shared" si="23"/>
        <v>1.9323097134899799E-3</v>
      </c>
      <c r="T156" s="27" t="s">
        <v>239</v>
      </c>
      <c r="U156" s="4"/>
      <c r="V156" s="4"/>
    </row>
    <row r="157" spans="1:22" s="6" customFormat="1" ht="17">
      <c r="A157" s="6" t="s">
        <v>164</v>
      </c>
      <c r="B157" s="6">
        <v>2013</v>
      </c>
      <c r="C157" s="9">
        <v>7299086</v>
      </c>
      <c r="D157" s="9">
        <v>4884634</v>
      </c>
      <c r="E157" s="4">
        <f t="shared" si="21"/>
        <v>2414452</v>
      </c>
      <c r="F157" s="4">
        <v>1862719</v>
      </c>
      <c r="G157" s="4">
        <v>1713140</v>
      </c>
      <c r="H157" s="3">
        <f t="shared" si="22"/>
        <v>149579</v>
      </c>
      <c r="I157" s="3">
        <v>115722</v>
      </c>
      <c r="J157" s="13">
        <v>0.71</v>
      </c>
      <c r="K157" s="9">
        <v>743538</v>
      </c>
      <c r="L157" s="4"/>
      <c r="M157" s="6">
        <v>-983436</v>
      </c>
      <c r="N157" s="6">
        <f t="shared" si="20"/>
        <v>-239898</v>
      </c>
      <c r="O157" s="4">
        <v>239994</v>
      </c>
      <c r="P157" s="4">
        <f t="shared" si="18"/>
        <v>743538</v>
      </c>
      <c r="Q157" s="5">
        <v>81</v>
      </c>
      <c r="R157" s="6">
        <f t="shared" si="19"/>
        <v>114.08450704225352</v>
      </c>
      <c r="S157" s="27">
        <f t="shared" si="23"/>
        <v>1.5854313814085762E-2</v>
      </c>
      <c r="T157" s="27" t="s">
        <v>239</v>
      </c>
      <c r="U157" s="4"/>
      <c r="V157" s="4"/>
    </row>
    <row r="158" spans="1:22" s="6" customFormat="1" ht="17">
      <c r="A158" s="6" t="s">
        <v>164</v>
      </c>
      <c r="B158" s="6">
        <v>2014</v>
      </c>
      <c r="C158" s="9">
        <v>8746780</v>
      </c>
      <c r="D158" s="9">
        <v>5289351</v>
      </c>
      <c r="E158" s="4">
        <f t="shared" si="21"/>
        <v>3457429</v>
      </c>
      <c r="F158" s="4">
        <v>2711695</v>
      </c>
      <c r="G158" s="4">
        <v>1680810</v>
      </c>
      <c r="H158" s="3">
        <f t="shared" si="22"/>
        <v>1030885</v>
      </c>
      <c r="I158" s="3">
        <v>634382</v>
      </c>
      <c r="J158" s="13">
        <v>3.81</v>
      </c>
      <c r="K158" s="9">
        <v>954135</v>
      </c>
      <c r="L158" s="4"/>
      <c r="M158" s="6">
        <v>-1245456</v>
      </c>
      <c r="N158" s="6">
        <f t="shared" si="20"/>
        <v>-291321</v>
      </c>
      <c r="O158" s="4">
        <v>291421</v>
      </c>
      <c r="P158" s="4">
        <f t="shared" si="18"/>
        <v>954135</v>
      </c>
      <c r="Q158" s="5">
        <v>82.97</v>
      </c>
      <c r="R158" s="6">
        <f t="shared" si="19"/>
        <v>21.776902887139109</v>
      </c>
      <c r="S158" s="27">
        <f t="shared" si="23"/>
        <v>7.2527490116362822E-2</v>
      </c>
      <c r="T158" s="27" t="s">
        <v>239</v>
      </c>
      <c r="U158" s="4"/>
      <c r="V158" s="4"/>
    </row>
    <row r="159" spans="1:22" s="6" customFormat="1" ht="17">
      <c r="A159" s="6" t="s">
        <v>164</v>
      </c>
      <c r="B159" s="6">
        <v>2015</v>
      </c>
      <c r="C159" s="9">
        <v>6900031</v>
      </c>
      <c r="D159" s="9">
        <v>4140373</v>
      </c>
      <c r="E159" s="4">
        <f t="shared" si="21"/>
        <v>2759658</v>
      </c>
      <c r="F159" s="4">
        <v>1598068</v>
      </c>
      <c r="G159" s="4">
        <v>2650430</v>
      </c>
      <c r="H159" s="3">
        <f t="shared" si="22"/>
        <v>-1052362</v>
      </c>
      <c r="I159" s="3">
        <v>-713685</v>
      </c>
      <c r="J159" s="13">
        <v>-4.29</v>
      </c>
      <c r="K159" s="9">
        <v>691402</v>
      </c>
      <c r="L159" s="4"/>
      <c r="M159" s="6">
        <v>-218772</v>
      </c>
      <c r="N159" s="6">
        <f t="shared" si="20"/>
        <v>472630</v>
      </c>
      <c r="O159" s="4">
        <v>-472607</v>
      </c>
      <c r="P159" s="4">
        <f t="shared" si="18"/>
        <v>691402</v>
      </c>
      <c r="Q159" s="5">
        <v>52.04</v>
      </c>
      <c r="R159" s="6">
        <f t="shared" si="19"/>
        <v>-12.130536130536131</v>
      </c>
      <c r="S159" s="27">
        <f t="shared" si="23"/>
        <v>-0.10343214400051245</v>
      </c>
      <c r="T159" s="27" t="s">
        <v>239</v>
      </c>
      <c r="U159" s="4"/>
      <c r="V159" s="4"/>
    </row>
    <row r="160" spans="1:22" s="6" customFormat="1" ht="17">
      <c r="A160" s="6" t="s">
        <v>164</v>
      </c>
      <c r="B160" s="6">
        <v>2016</v>
      </c>
      <c r="C160" s="9">
        <v>11282245</v>
      </c>
      <c r="D160" s="9">
        <v>5873877</v>
      </c>
      <c r="E160" s="4">
        <f t="shared" si="21"/>
        <v>5408368</v>
      </c>
      <c r="F160" s="4">
        <v>1099939</v>
      </c>
      <c r="G160" s="4">
        <v>1902077</v>
      </c>
      <c r="H160" s="3">
        <f t="shared" si="22"/>
        <v>-802138</v>
      </c>
      <c r="I160" s="3">
        <v>-521388</v>
      </c>
      <c r="J160" s="13">
        <v>-2.75</v>
      </c>
      <c r="K160" s="9">
        <v>387068</v>
      </c>
      <c r="L160" s="4"/>
      <c r="M160" s="6">
        <v>-308835</v>
      </c>
      <c r="N160" s="6">
        <f t="shared" si="20"/>
        <v>78233</v>
      </c>
      <c r="O160" s="4">
        <v>-78390</v>
      </c>
      <c r="P160" s="4">
        <f t="shared" si="18"/>
        <v>387068</v>
      </c>
      <c r="Q160" s="5">
        <v>32.380000000000003</v>
      </c>
      <c r="R160" s="6">
        <f t="shared" si="19"/>
        <v>-11.774545454545455</v>
      </c>
      <c r="S160" s="27">
        <f t="shared" si="23"/>
        <v>-4.6213142862967432E-2</v>
      </c>
      <c r="T160" s="27" t="s">
        <v>239</v>
      </c>
      <c r="U160" s="4"/>
      <c r="V160" s="4"/>
    </row>
    <row r="161" spans="1:22" s="6" customFormat="1" ht="17">
      <c r="A161" s="6" t="s">
        <v>164</v>
      </c>
      <c r="B161" s="6">
        <v>2017</v>
      </c>
      <c r="C161" s="9">
        <v>11728841</v>
      </c>
      <c r="D161" s="9">
        <v>5954569</v>
      </c>
      <c r="E161" s="4">
        <f t="shared" si="21"/>
        <v>5774272</v>
      </c>
      <c r="F161" s="4">
        <v>2611030</v>
      </c>
      <c r="G161" s="4">
        <v>2528910</v>
      </c>
      <c r="H161" s="3">
        <f t="shared" si="22"/>
        <v>82120</v>
      </c>
      <c r="I161" s="3">
        <v>333146</v>
      </c>
      <c r="J161" s="13">
        <v>1.34</v>
      </c>
      <c r="K161" s="9">
        <v>816254</v>
      </c>
      <c r="L161" s="4"/>
      <c r="M161" s="6">
        <v>-1139057</v>
      </c>
      <c r="N161" s="6">
        <f t="shared" si="20"/>
        <v>-322803</v>
      </c>
      <c r="O161" s="4">
        <v>322937</v>
      </c>
      <c r="P161" s="4">
        <f t="shared" si="18"/>
        <v>816254</v>
      </c>
      <c r="Q161" s="5">
        <v>29.1</v>
      </c>
      <c r="R161" s="6">
        <f t="shared" si="19"/>
        <v>21.71641791044776</v>
      </c>
      <c r="S161" s="27">
        <f t="shared" si="23"/>
        <v>2.8404000020121341E-2</v>
      </c>
      <c r="T161" s="27" t="s">
        <v>239</v>
      </c>
      <c r="U161" s="4"/>
      <c r="V161" s="4"/>
    </row>
    <row r="162" spans="1:22" s="6" customFormat="1" ht="17">
      <c r="A162" s="6" t="s">
        <v>164</v>
      </c>
      <c r="B162" s="6">
        <v>2018</v>
      </c>
      <c r="C162" s="9">
        <v>9708154</v>
      </c>
      <c r="D162" s="9">
        <v>5648723</v>
      </c>
      <c r="E162" s="4">
        <f t="shared" si="21"/>
        <v>4059431</v>
      </c>
      <c r="F162" s="4">
        <v>3282645</v>
      </c>
      <c r="G162" s="4">
        <v>5059615</v>
      </c>
      <c r="H162" s="3">
        <f t="shared" si="22"/>
        <v>-1776970</v>
      </c>
      <c r="I162" s="3">
        <v>-1746481</v>
      </c>
      <c r="J162" s="13">
        <v>-7.1</v>
      </c>
      <c r="K162" s="9">
        <v>990690</v>
      </c>
      <c r="L162" s="4"/>
      <c r="M162" s="6">
        <v>-695434</v>
      </c>
      <c r="N162" s="6">
        <f t="shared" si="20"/>
        <v>295256</v>
      </c>
      <c r="O162" s="4">
        <v>-295159</v>
      </c>
      <c r="P162" s="4">
        <f t="shared" si="18"/>
        <v>990690</v>
      </c>
      <c r="Q162" s="5">
        <v>14.54</v>
      </c>
      <c r="R162" s="6">
        <f t="shared" si="19"/>
        <v>-2.0478873239436619</v>
      </c>
      <c r="S162" s="27">
        <f t="shared" si="23"/>
        <v>-0.17989836172767759</v>
      </c>
      <c r="T162" s="27" t="s">
        <v>239</v>
      </c>
      <c r="U162" s="4"/>
      <c r="V162" s="4"/>
    </row>
    <row r="163" spans="1:22" s="6" customFormat="1" ht="17">
      <c r="A163" s="6" t="s">
        <v>164</v>
      </c>
      <c r="B163" s="6">
        <v>2019</v>
      </c>
      <c r="C163" s="9">
        <v>6612403</v>
      </c>
      <c r="D163" s="9">
        <v>4264915</v>
      </c>
      <c r="E163" s="4">
        <f t="shared" si="21"/>
        <v>2347488</v>
      </c>
      <c r="F163" s="4">
        <v>2827615</v>
      </c>
      <c r="G163" s="4">
        <v>5044203</v>
      </c>
      <c r="H163" s="3">
        <f t="shared" si="22"/>
        <v>-2216588</v>
      </c>
      <c r="I163" s="3">
        <v>-1716297</v>
      </c>
      <c r="J163" s="13">
        <v>-6.92</v>
      </c>
      <c r="K163" s="9">
        <v>681843</v>
      </c>
      <c r="L163" s="4"/>
      <c r="M163" s="6">
        <v>39478</v>
      </c>
      <c r="N163" s="6">
        <f t="shared" si="20"/>
        <v>721321</v>
      </c>
      <c r="O163" s="4">
        <v>-721320</v>
      </c>
      <c r="P163" s="4">
        <f t="shared" si="18"/>
        <v>681843</v>
      </c>
      <c r="Q163" s="5">
        <v>11.24</v>
      </c>
      <c r="R163" s="6">
        <f t="shared" si="19"/>
        <v>-1.624277456647399</v>
      </c>
      <c r="S163" s="27">
        <f t="shared" si="23"/>
        <v>-0.25955722904366235</v>
      </c>
      <c r="T163" s="27" t="s">
        <v>239</v>
      </c>
      <c r="U163" s="4"/>
      <c r="V163" s="4"/>
    </row>
    <row r="164" spans="1:22" s="6" customFormat="1" ht="17">
      <c r="A164" s="6" t="s">
        <v>164</v>
      </c>
      <c r="B164" s="6">
        <v>2020</v>
      </c>
      <c r="C164" s="9">
        <v>6136936</v>
      </c>
      <c r="D164" s="9">
        <v>4499401</v>
      </c>
      <c r="E164" s="4">
        <f t="shared" si="21"/>
        <v>1637535</v>
      </c>
      <c r="F164" s="4">
        <v>1968697</v>
      </c>
      <c r="G164" s="4">
        <v>2706026</v>
      </c>
      <c r="H164" s="3">
        <f t="shared" si="22"/>
        <v>-737329</v>
      </c>
      <c r="I164" s="3">
        <v>-711777</v>
      </c>
      <c r="J164" s="13">
        <v>-2.95</v>
      </c>
      <c r="K164" s="9">
        <v>268680</v>
      </c>
      <c r="L164" s="4"/>
      <c r="M164" s="6">
        <v>-184082</v>
      </c>
      <c r="N164" s="6">
        <f t="shared" si="20"/>
        <v>84598</v>
      </c>
      <c r="O164" s="4">
        <v>-84686</v>
      </c>
      <c r="P164" s="4">
        <f t="shared" si="18"/>
        <v>268680</v>
      </c>
      <c r="Q164" s="5">
        <v>2.2799999999999998</v>
      </c>
      <c r="R164" s="6">
        <f t="shared" si="19"/>
        <v>-0.77288135593220331</v>
      </c>
      <c r="S164" s="27">
        <f t="shared" si="23"/>
        <v>-0.1159824707313226</v>
      </c>
      <c r="T164" s="27" t="s">
        <v>239</v>
      </c>
      <c r="U164" s="4"/>
      <c r="V164" s="4"/>
    </row>
    <row r="165" spans="1:22" s="6" customFormat="1" ht="17">
      <c r="A165" s="6" t="s">
        <v>164</v>
      </c>
      <c r="B165" s="6">
        <v>2021</v>
      </c>
      <c r="C165" s="9">
        <v>6660507</v>
      </c>
      <c r="D165" s="9">
        <v>4574844</v>
      </c>
      <c r="E165" s="4">
        <f t="shared" si="21"/>
        <v>2085663</v>
      </c>
      <c r="F165" s="4">
        <v>2930223</v>
      </c>
      <c r="G165" s="4">
        <v>2528188</v>
      </c>
      <c r="H165" s="3">
        <f t="shared" si="22"/>
        <v>402035</v>
      </c>
      <c r="I165" s="3">
        <v>411778</v>
      </c>
      <c r="J165" s="13">
        <v>1.65</v>
      </c>
      <c r="K165" s="9">
        <v>792948</v>
      </c>
      <c r="L165" s="4"/>
      <c r="M165" s="6">
        <v>-417879</v>
      </c>
      <c r="N165" s="6">
        <f t="shared" si="20"/>
        <v>375069</v>
      </c>
      <c r="O165" s="4">
        <v>-161105</v>
      </c>
      <c r="P165" s="4">
        <f t="shared" si="18"/>
        <v>792948</v>
      </c>
      <c r="Q165" s="5">
        <v>10.33</v>
      </c>
      <c r="R165" s="6">
        <f t="shared" si="19"/>
        <v>6.2606060606060607</v>
      </c>
      <c r="S165" s="27">
        <f t="shared" si="23"/>
        <v>6.1823822120448187E-2</v>
      </c>
      <c r="T165" s="27" t="s">
        <v>239</v>
      </c>
      <c r="U165" s="4"/>
      <c r="V165" s="4"/>
    </row>
    <row r="166" spans="1:22" s="6" customFormat="1" ht="17">
      <c r="A166" s="6" t="s">
        <v>164</v>
      </c>
      <c r="B166" s="6">
        <v>2022</v>
      </c>
      <c r="C166" s="9">
        <v>6625562</v>
      </c>
      <c r="D166" s="9">
        <v>3749556</v>
      </c>
      <c r="E166" s="4">
        <f t="shared" si="21"/>
        <v>2876006</v>
      </c>
      <c r="F166" s="4">
        <v>4146803</v>
      </c>
      <c r="G166" s="4">
        <v>2732973</v>
      </c>
      <c r="H166" s="3">
        <f t="shared" si="22"/>
        <v>1413830</v>
      </c>
      <c r="I166" s="3">
        <v>1183370</v>
      </c>
      <c r="J166" s="13">
        <v>4.79</v>
      </c>
      <c r="K166" s="9">
        <v>1864744</v>
      </c>
      <c r="L166" s="4"/>
      <c r="M166" s="6">
        <v>-489832</v>
      </c>
      <c r="N166" s="6">
        <f t="shared" si="20"/>
        <v>1374912</v>
      </c>
      <c r="O166" s="4">
        <v>-1589127</v>
      </c>
      <c r="P166" s="4">
        <f t="shared" si="18"/>
        <v>1864744</v>
      </c>
      <c r="Q166" s="5">
        <v>30.38</v>
      </c>
      <c r="R166" s="6">
        <f t="shared" si="19"/>
        <v>6.3423799582463465</v>
      </c>
      <c r="S166" s="27">
        <f t="shared" si="23"/>
        <v>0.17860673554937678</v>
      </c>
      <c r="T166" s="27" t="s">
        <v>239</v>
      </c>
      <c r="U166" s="4"/>
      <c r="V166" s="4"/>
    </row>
    <row r="167" spans="1:22" s="6" customFormat="1" ht="17">
      <c r="A167" s="6" t="s">
        <v>176</v>
      </c>
      <c r="B167" s="6">
        <v>2012</v>
      </c>
      <c r="C167" s="9">
        <v>5935142</v>
      </c>
      <c r="D167" s="9">
        <f>C167-E167</f>
        <v>3975047</v>
      </c>
      <c r="E167" s="4">
        <v>1960095</v>
      </c>
      <c r="F167" s="4">
        <v>1626853</v>
      </c>
      <c r="G167" s="4">
        <v>1178804</v>
      </c>
      <c r="H167" s="3">
        <f t="shared" si="22"/>
        <v>448049</v>
      </c>
      <c r="I167" s="3">
        <v>220077</v>
      </c>
      <c r="J167" s="13">
        <v>2.65</v>
      </c>
      <c r="K167" s="9">
        <v>659010</v>
      </c>
      <c r="L167" s="4"/>
      <c r="M167" s="6">
        <v>-1034561</v>
      </c>
      <c r="N167" s="6">
        <f t="shared" si="20"/>
        <v>-375551</v>
      </c>
      <c r="O167" s="4">
        <v>369617</v>
      </c>
      <c r="P167" s="4">
        <f t="shared" si="18"/>
        <v>659010</v>
      </c>
      <c r="Q167" s="5">
        <v>48.12</v>
      </c>
      <c r="R167" s="6">
        <f t="shared" si="19"/>
        <v>18.158490566037734</v>
      </c>
      <c r="S167" s="27">
        <f t="shared" si="23"/>
        <v>3.7080325963557398E-2</v>
      </c>
      <c r="T167" s="27" t="s">
        <v>239</v>
      </c>
      <c r="U167" s="4"/>
      <c r="V167" s="4"/>
    </row>
    <row r="168" spans="1:22" s="6" customFormat="1" ht="17">
      <c r="A168" s="6" t="s">
        <v>176</v>
      </c>
      <c r="B168" s="6">
        <v>2013</v>
      </c>
      <c r="C168" s="9">
        <v>6218347</v>
      </c>
      <c r="D168" s="9">
        <f t="shared" ref="D168:D175" si="25">C168-E168</f>
        <v>4023618</v>
      </c>
      <c r="E168" s="4">
        <v>2194729</v>
      </c>
      <c r="F168" s="4">
        <v>1829551</v>
      </c>
      <c r="G168" s="4">
        <v>1311713</v>
      </c>
      <c r="H168" s="3">
        <f t="shared" si="22"/>
        <v>517838</v>
      </c>
      <c r="I168" s="3">
        <v>260001</v>
      </c>
      <c r="J168" s="13">
        <v>3.11</v>
      </c>
      <c r="K168" s="9">
        <v>738572</v>
      </c>
      <c r="L168" s="4"/>
      <c r="M168" s="6">
        <v>-705983</v>
      </c>
      <c r="N168" s="6">
        <f t="shared" si="20"/>
        <v>32589</v>
      </c>
      <c r="O168" s="4">
        <v>-42225</v>
      </c>
      <c r="P168" s="4">
        <f t="shared" si="18"/>
        <v>738572</v>
      </c>
      <c r="Q168" s="5">
        <v>61.35</v>
      </c>
      <c r="R168" s="6">
        <f t="shared" si="19"/>
        <v>19.726688102893892</v>
      </c>
      <c r="S168" s="27">
        <f t="shared" si="23"/>
        <v>4.1811915610370412E-2</v>
      </c>
      <c r="T168" s="27" t="s">
        <v>239</v>
      </c>
      <c r="U168" s="4"/>
      <c r="V168" s="4"/>
    </row>
    <row r="169" spans="1:22" s="6" customFormat="1" ht="17">
      <c r="A169" s="6" t="s">
        <v>176</v>
      </c>
      <c r="B169" s="6">
        <v>2014</v>
      </c>
      <c r="C169" s="9">
        <v>6739597</v>
      </c>
      <c r="D169" s="9">
        <f t="shared" si="25"/>
        <v>4328914</v>
      </c>
      <c r="E169" s="4">
        <v>2410683</v>
      </c>
      <c r="F169" s="4">
        <v>2113081</v>
      </c>
      <c r="G169" s="4">
        <v>1543408</v>
      </c>
      <c r="H169" s="3">
        <f t="shared" si="22"/>
        <v>569673</v>
      </c>
      <c r="I169" s="3">
        <v>299413</v>
      </c>
      <c r="J169" s="13">
        <v>3.57</v>
      </c>
      <c r="K169" s="9">
        <v>909390</v>
      </c>
      <c r="L169" s="4"/>
      <c r="M169" s="6">
        <v>-908435</v>
      </c>
      <c r="N169" s="6">
        <f t="shared" si="20"/>
        <v>955</v>
      </c>
      <c r="O169" s="4">
        <v>-28927</v>
      </c>
      <c r="P169" s="4">
        <f t="shared" si="18"/>
        <v>909390</v>
      </c>
      <c r="Q169" s="5">
        <v>70.040000000000006</v>
      </c>
      <c r="R169" s="6">
        <f t="shared" si="19"/>
        <v>19.61904761904762</v>
      </c>
      <c r="S169" s="27">
        <f t="shared" si="23"/>
        <v>4.4425950097609697E-2</v>
      </c>
      <c r="T169" s="27" t="s">
        <v>239</v>
      </c>
      <c r="U169" s="4"/>
      <c r="V169" s="4"/>
    </row>
    <row r="170" spans="1:22" s="6" customFormat="1" ht="17">
      <c r="A170" s="6" t="s">
        <v>176</v>
      </c>
      <c r="B170" s="6">
        <v>2015</v>
      </c>
      <c r="C170" s="9">
        <v>6702139</v>
      </c>
      <c r="D170" s="9">
        <f t="shared" si="25"/>
        <v>4676699</v>
      </c>
      <c r="E170" s="4">
        <v>2025440</v>
      </c>
      <c r="F170" s="4">
        <v>1760913</v>
      </c>
      <c r="G170" s="4">
        <v>2371966</v>
      </c>
      <c r="H170" s="3">
        <f t="shared" si="22"/>
        <v>-611053</v>
      </c>
      <c r="I170" s="3">
        <v>-379427</v>
      </c>
      <c r="J170" s="13">
        <v>-4.5</v>
      </c>
      <c r="K170" s="9">
        <v>853580</v>
      </c>
      <c r="L170" s="4"/>
      <c r="M170" s="6">
        <v>-1024790</v>
      </c>
      <c r="N170" s="6">
        <f t="shared" si="20"/>
        <v>-171210</v>
      </c>
      <c r="O170" s="4">
        <v>247920</v>
      </c>
      <c r="P170" s="4">
        <f t="shared" si="18"/>
        <v>853580</v>
      </c>
      <c r="Q170" s="5">
        <v>60.33</v>
      </c>
      <c r="R170" s="6">
        <f t="shared" si="19"/>
        <v>-13.406666666666666</v>
      </c>
      <c r="S170" s="27">
        <f t="shared" si="23"/>
        <v>-5.661282166782873E-2</v>
      </c>
      <c r="T170" s="27" t="s">
        <v>239</v>
      </c>
      <c r="U170" s="4"/>
      <c r="V170" s="4"/>
    </row>
    <row r="171" spans="1:22" s="6" customFormat="1" ht="17">
      <c r="A171" s="6" t="s">
        <v>176</v>
      </c>
      <c r="B171" s="6">
        <v>2016</v>
      </c>
      <c r="C171" s="9">
        <v>5636387</v>
      </c>
      <c r="D171" s="9">
        <f t="shared" si="25"/>
        <v>4109383</v>
      </c>
      <c r="E171" s="4">
        <v>1527004</v>
      </c>
      <c r="F171" s="4">
        <v>1452416</v>
      </c>
      <c r="G171" s="4">
        <v>1868934</v>
      </c>
      <c r="H171" s="3">
        <f t="shared" si="22"/>
        <v>-416518</v>
      </c>
      <c r="I171" s="3">
        <v>-290958</v>
      </c>
      <c r="J171" s="13">
        <v>-3.43</v>
      </c>
      <c r="K171" s="9">
        <v>588979</v>
      </c>
      <c r="L171" s="4"/>
      <c r="M171" s="6">
        <v>-453496</v>
      </c>
      <c r="N171" s="6">
        <f t="shared" si="20"/>
        <v>135483</v>
      </c>
      <c r="O171" s="4">
        <v>-119107</v>
      </c>
      <c r="P171" s="4">
        <f t="shared" si="18"/>
        <v>588979</v>
      </c>
      <c r="Q171" s="5">
        <v>50.05</v>
      </c>
      <c r="R171" s="6">
        <f t="shared" si="19"/>
        <v>-14.591836734693876</v>
      </c>
      <c r="S171" s="27">
        <f t="shared" si="23"/>
        <v>-5.162136666627043E-2</v>
      </c>
      <c r="T171" s="27" t="s">
        <v>239</v>
      </c>
      <c r="U171" s="4"/>
      <c r="V171" s="4"/>
    </row>
    <row r="172" spans="1:22" s="6" customFormat="1" ht="17">
      <c r="A172" s="6" t="s">
        <v>176</v>
      </c>
      <c r="B172" s="6">
        <v>2017</v>
      </c>
      <c r="C172" s="9">
        <v>6103320</v>
      </c>
      <c r="D172" s="9">
        <f t="shared" si="25"/>
        <v>4399585</v>
      </c>
      <c r="E172" s="4">
        <v>1703735</v>
      </c>
      <c r="F172" s="4">
        <v>1579881</v>
      </c>
      <c r="G172" s="4">
        <v>1027036</v>
      </c>
      <c r="H172" s="3">
        <f t="shared" si="22"/>
        <v>552845</v>
      </c>
      <c r="I172" s="3">
        <v>283482</v>
      </c>
      <c r="J172" s="13">
        <v>3.32</v>
      </c>
      <c r="K172" s="9">
        <v>684251</v>
      </c>
      <c r="L172" s="4"/>
      <c r="M172" s="6">
        <v>-422565</v>
      </c>
      <c r="N172" s="6">
        <f t="shared" si="20"/>
        <v>261686</v>
      </c>
      <c r="O172" s="4">
        <v>163872</v>
      </c>
      <c r="P172" s="4">
        <f t="shared" si="18"/>
        <v>684251</v>
      </c>
      <c r="Q172" s="5">
        <v>59.62</v>
      </c>
      <c r="R172" s="6">
        <f t="shared" si="19"/>
        <v>17.957831325301203</v>
      </c>
      <c r="S172" s="27">
        <f t="shared" si="23"/>
        <v>4.6447179567841765E-2</v>
      </c>
      <c r="T172" s="27" t="s">
        <v>239</v>
      </c>
      <c r="U172" s="4"/>
      <c r="V172" s="4"/>
    </row>
    <row r="173" spans="1:22" s="6" customFormat="1" ht="17">
      <c r="A173" s="6" t="s">
        <v>176</v>
      </c>
      <c r="B173" s="6">
        <v>2018</v>
      </c>
      <c r="C173" s="9">
        <v>6036486</v>
      </c>
      <c r="D173" s="9">
        <f t="shared" si="25"/>
        <v>4099156</v>
      </c>
      <c r="E173" s="4">
        <v>1937330</v>
      </c>
      <c r="F173" s="4">
        <v>1592668</v>
      </c>
      <c r="G173" s="4">
        <v>1072945</v>
      </c>
      <c r="H173" s="3">
        <f t="shared" si="22"/>
        <v>519723</v>
      </c>
      <c r="I173" s="3">
        <v>391521</v>
      </c>
      <c r="J173" s="13">
        <v>4.5599999999999996</v>
      </c>
      <c r="K173" s="9">
        <v>615303</v>
      </c>
      <c r="L173" s="4"/>
      <c r="M173" s="6">
        <v>-528887</v>
      </c>
      <c r="N173" s="6">
        <f t="shared" si="20"/>
        <v>86416</v>
      </c>
      <c r="O173" s="4">
        <v>-410640</v>
      </c>
      <c r="P173" s="4">
        <f t="shared" si="18"/>
        <v>615303</v>
      </c>
      <c r="Q173" s="5">
        <v>51.45</v>
      </c>
      <c r="R173" s="6">
        <f t="shared" si="19"/>
        <v>11.282894736842106</v>
      </c>
      <c r="S173" s="27">
        <f t="shared" si="23"/>
        <v>6.4859091862384838E-2</v>
      </c>
      <c r="T173" s="27" t="s">
        <v>239</v>
      </c>
      <c r="U173" s="4"/>
      <c r="V173" s="4"/>
    </row>
    <row r="174" spans="1:22" s="6" customFormat="1" ht="17">
      <c r="A174" s="6" t="s">
        <v>176</v>
      </c>
      <c r="B174" s="6">
        <v>2019</v>
      </c>
      <c r="C174" s="9">
        <v>6462157</v>
      </c>
      <c r="D174" s="9">
        <f t="shared" si="25"/>
        <v>4323132</v>
      </c>
      <c r="E174" s="4">
        <v>2139025</v>
      </c>
      <c r="F174" s="4">
        <v>1693332</v>
      </c>
      <c r="G174" s="4">
        <v>1181523</v>
      </c>
      <c r="H174" s="3">
        <f t="shared" si="22"/>
        <v>511809</v>
      </c>
      <c r="I174" s="3">
        <v>304290</v>
      </c>
      <c r="J174" s="13">
        <v>3.53</v>
      </c>
      <c r="K174" s="9">
        <v>694483</v>
      </c>
      <c r="L174" s="4"/>
      <c r="M174" s="6">
        <v>-799175</v>
      </c>
      <c r="N174" s="6">
        <f t="shared" si="20"/>
        <v>-104692</v>
      </c>
      <c r="O174" s="4">
        <v>-101095</v>
      </c>
      <c r="P174" s="4">
        <f t="shared" si="18"/>
        <v>694483</v>
      </c>
      <c r="Q174" s="5">
        <v>60.96</v>
      </c>
      <c r="R174" s="6">
        <f t="shared" si="19"/>
        <v>17.269121813031163</v>
      </c>
      <c r="S174" s="27">
        <f t="shared" ref="S174:S205" si="26">I174/C174</f>
        <v>4.7087992445865985E-2</v>
      </c>
      <c r="T174" s="27" t="s">
        <v>239</v>
      </c>
      <c r="U174" s="4"/>
      <c r="V174" s="4"/>
    </row>
    <row r="175" spans="1:22" s="6" customFormat="1" ht="17">
      <c r="A175" s="6" t="s">
        <v>176</v>
      </c>
      <c r="B175" s="6">
        <v>2020</v>
      </c>
      <c r="C175" s="9">
        <v>6964935</v>
      </c>
      <c r="D175" s="9">
        <f t="shared" si="25"/>
        <v>4992949</v>
      </c>
      <c r="E175" s="4">
        <v>1971986</v>
      </c>
      <c r="F175" s="4">
        <v>1546291</v>
      </c>
      <c r="G175" s="4">
        <v>1516433</v>
      </c>
      <c r="H175" s="3">
        <f t="shared" si="22"/>
        <v>29858</v>
      </c>
      <c r="I175" s="3">
        <v>-123772</v>
      </c>
      <c r="J175" s="13">
        <v>-1.41</v>
      </c>
      <c r="K175" s="9">
        <v>740809</v>
      </c>
      <c r="L175" s="4"/>
      <c r="M175" s="6">
        <v>-1223616</v>
      </c>
      <c r="N175" s="6">
        <f t="shared" si="20"/>
        <v>-482807</v>
      </c>
      <c r="O175" s="4">
        <v>476088</v>
      </c>
      <c r="P175" s="4">
        <f t="shared" si="18"/>
        <v>740809</v>
      </c>
      <c r="Q175" s="5">
        <v>37.29</v>
      </c>
      <c r="R175" s="6">
        <f t="shared" si="19"/>
        <v>-26.446808510638299</v>
      </c>
      <c r="S175" s="27">
        <f t="shared" si="26"/>
        <v>-1.7770732964485669E-2</v>
      </c>
      <c r="T175" s="27" t="s">
        <v>239</v>
      </c>
      <c r="U175" s="4"/>
      <c r="V175" s="4"/>
    </row>
    <row r="176" spans="1:22" s="6" customFormat="1" ht="17">
      <c r="A176" s="6" t="s">
        <v>176</v>
      </c>
      <c r="B176" s="6">
        <v>2021</v>
      </c>
      <c r="C176" s="9">
        <v>7464825</v>
      </c>
      <c r="D176" s="9">
        <f t="shared" ref="D176:D185" si="27">C176-E176</f>
        <v>5678619</v>
      </c>
      <c r="E176" s="4">
        <v>1786206</v>
      </c>
      <c r="F176" s="4">
        <v>1742659</v>
      </c>
      <c r="G176" s="4">
        <v>1153801</v>
      </c>
      <c r="H176" s="3">
        <f>F176-G176+51066</f>
        <v>639924</v>
      </c>
      <c r="I176" s="3">
        <v>363647</v>
      </c>
      <c r="J176" s="13">
        <v>3.99</v>
      </c>
      <c r="K176" s="9">
        <v>791553</v>
      </c>
      <c r="L176" s="4"/>
      <c r="M176" s="6">
        <v>633217</v>
      </c>
      <c r="N176" s="6">
        <f t="shared" si="20"/>
        <v>1424770</v>
      </c>
      <c r="O176" s="4">
        <v>-58739</v>
      </c>
      <c r="P176" s="4">
        <f t="shared" si="18"/>
        <v>791553</v>
      </c>
      <c r="Q176" s="5">
        <v>49.99</v>
      </c>
      <c r="R176" s="6">
        <f t="shared" si="19"/>
        <v>12.528822055137844</v>
      </c>
      <c r="S176" s="27">
        <f t="shared" si="26"/>
        <v>4.8714738791599266E-2</v>
      </c>
      <c r="T176" s="27" t="s">
        <v>239</v>
      </c>
      <c r="U176" s="4"/>
      <c r="V176" s="4"/>
    </row>
    <row r="177" spans="1:22" s="6" customFormat="1" ht="17">
      <c r="A177" s="6" t="s">
        <v>187</v>
      </c>
      <c r="B177" s="6">
        <v>2012</v>
      </c>
      <c r="C177" s="9">
        <v>4199529</v>
      </c>
      <c r="D177" s="9">
        <f t="shared" si="27"/>
        <v>2785063</v>
      </c>
      <c r="E177" s="4">
        <v>1414466</v>
      </c>
      <c r="F177" s="4">
        <v>1505102</v>
      </c>
      <c r="G177" s="4">
        <v>1525119</v>
      </c>
      <c r="H177" s="3">
        <f t="shared" si="22"/>
        <v>-20017</v>
      </c>
      <c r="I177" s="3">
        <v>-54249</v>
      </c>
      <c r="J177" s="13">
        <v>-0.83</v>
      </c>
      <c r="K177" s="9">
        <v>921969</v>
      </c>
      <c r="L177" s="4"/>
      <c r="M177" s="6">
        <v>-1457333</v>
      </c>
      <c r="N177" s="6">
        <v>-1457333</v>
      </c>
      <c r="O177" s="4">
        <v>422096</v>
      </c>
      <c r="P177" s="4">
        <f t="shared" si="18"/>
        <v>921969</v>
      </c>
      <c r="Q177" s="5">
        <v>70.77</v>
      </c>
      <c r="R177" s="6">
        <f t="shared" si="19"/>
        <v>-85.265060240963848</v>
      </c>
      <c r="S177" s="27">
        <f t="shared" si="26"/>
        <v>-1.2917877219088141E-2</v>
      </c>
      <c r="T177" s="27" t="s">
        <v>239</v>
      </c>
      <c r="U177" s="4"/>
      <c r="V177" s="4"/>
    </row>
    <row r="178" spans="1:22" s="6" customFormat="1" ht="17">
      <c r="A178" s="6" t="s">
        <v>187</v>
      </c>
      <c r="B178" s="6">
        <v>2013</v>
      </c>
      <c r="C178" s="9">
        <v>4705165</v>
      </c>
      <c r="D178" s="9">
        <f t="shared" si="27"/>
        <v>3098344</v>
      </c>
      <c r="E178" s="4">
        <v>1606821</v>
      </c>
      <c r="F178" s="4">
        <v>2293374</v>
      </c>
      <c r="G178" s="4">
        <v>1925119</v>
      </c>
      <c r="H178" s="3">
        <f t="shared" si="22"/>
        <v>368255</v>
      </c>
      <c r="I178" s="3">
        <v>170935</v>
      </c>
      <c r="J178" s="13">
        <v>2.57</v>
      </c>
      <c r="K178" s="9">
        <v>1338514</v>
      </c>
      <c r="L178" s="4"/>
      <c r="M178" s="6">
        <v>-1192903</v>
      </c>
      <c r="N178" s="6">
        <f>K178+M179</f>
        <v>-1140235</v>
      </c>
      <c r="O178" s="4">
        <v>130711</v>
      </c>
      <c r="P178" s="4">
        <f t="shared" si="18"/>
        <v>1338514</v>
      </c>
      <c r="Q178" s="5">
        <v>59.22</v>
      </c>
      <c r="R178" s="6">
        <f t="shared" si="19"/>
        <v>23.042801556420233</v>
      </c>
      <c r="S178" s="27">
        <f t="shared" si="26"/>
        <v>3.6329225436302445E-2</v>
      </c>
      <c r="T178" s="27" t="s">
        <v>239</v>
      </c>
      <c r="U178" s="4"/>
      <c r="V178" s="4"/>
    </row>
    <row r="179" spans="1:22" s="6" customFormat="1" ht="17">
      <c r="A179" s="6" t="s">
        <v>187</v>
      </c>
      <c r="B179" s="6">
        <v>2014</v>
      </c>
      <c r="C179" s="9">
        <v>6516700</v>
      </c>
      <c r="D179" s="9">
        <f t="shared" si="27"/>
        <v>4230045</v>
      </c>
      <c r="E179" s="4">
        <v>2286655</v>
      </c>
      <c r="F179" s="4">
        <v>2522307</v>
      </c>
      <c r="G179" s="4">
        <v>1356493</v>
      </c>
      <c r="H179" s="3">
        <f t="shared" si="22"/>
        <v>1165814</v>
      </c>
      <c r="I179" s="3">
        <v>666051</v>
      </c>
      <c r="J179" s="13">
        <v>9.91</v>
      </c>
      <c r="K179" s="9">
        <v>1456575</v>
      </c>
      <c r="L179" s="4"/>
      <c r="M179" s="6">
        <v>-2478749</v>
      </c>
      <c r="N179" s="6">
        <f>K179+M180</f>
        <v>311936</v>
      </c>
      <c r="O179" s="4">
        <v>740046</v>
      </c>
      <c r="P179" s="4">
        <f t="shared" si="18"/>
        <v>1456575</v>
      </c>
      <c r="Q179" s="5">
        <v>71.290000000000006</v>
      </c>
      <c r="R179" s="6">
        <f t="shared" si="19"/>
        <v>7.1937436932391527</v>
      </c>
      <c r="S179" s="27">
        <f t="shared" si="26"/>
        <v>0.1022067917811162</v>
      </c>
      <c r="T179" s="27" t="s">
        <v>239</v>
      </c>
      <c r="U179" s="4"/>
      <c r="V179" s="4"/>
    </row>
    <row r="180" spans="1:22" s="6" customFormat="1" ht="17">
      <c r="A180" s="6" t="s">
        <v>187</v>
      </c>
      <c r="B180" s="6">
        <v>2015</v>
      </c>
      <c r="C180" s="9">
        <v>5621643</v>
      </c>
      <c r="D180" s="9">
        <f t="shared" si="27"/>
        <v>3769242</v>
      </c>
      <c r="E180" s="4">
        <v>1852401</v>
      </c>
      <c r="F180" s="4">
        <v>1556965</v>
      </c>
      <c r="G180" s="4">
        <v>2135748</v>
      </c>
      <c r="H180" s="3">
        <f t="shared" si="22"/>
        <v>-578783</v>
      </c>
      <c r="I180" s="3">
        <v>-447710</v>
      </c>
      <c r="J180" s="13">
        <v>-6.61</v>
      </c>
      <c r="K180" s="9">
        <v>990807</v>
      </c>
      <c r="L180" s="4"/>
      <c r="M180" s="6">
        <v>-1144639</v>
      </c>
      <c r="N180" s="6">
        <f t="shared" si="20"/>
        <v>-153832</v>
      </c>
      <c r="O180" s="4">
        <v>153730</v>
      </c>
      <c r="P180" s="4">
        <f t="shared" si="18"/>
        <v>990807</v>
      </c>
      <c r="Q180" s="5">
        <v>51.68</v>
      </c>
      <c r="R180" s="6">
        <f t="shared" si="19"/>
        <v>-7.8184568835098336</v>
      </c>
      <c r="S180" s="27">
        <f t="shared" si="26"/>
        <v>-7.9640418290524678E-2</v>
      </c>
      <c r="T180" s="27" t="s">
        <v>239</v>
      </c>
      <c r="U180" s="4"/>
      <c r="V180" s="4"/>
    </row>
    <row r="181" spans="1:22" s="6" customFormat="1" ht="17">
      <c r="A181" s="6" t="s">
        <v>187</v>
      </c>
      <c r="B181" s="6">
        <v>2016</v>
      </c>
      <c r="C181" s="9">
        <v>6393511</v>
      </c>
      <c r="D181" s="9">
        <f t="shared" si="27"/>
        <v>3896378</v>
      </c>
      <c r="E181" s="4">
        <v>2497133</v>
      </c>
      <c r="F181" s="4">
        <v>1217450</v>
      </c>
      <c r="G181" s="4">
        <v>2276765</v>
      </c>
      <c r="H181" s="3">
        <f t="shared" si="22"/>
        <v>-1059315</v>
      </c>
      <c r="I181" s="3">
        <v>-757744</v>
      </c>
      <c r="J181" s="13">
        <v>-9.9</v>
      </c>
      <c r="K181" s="9">
        <v>552804</v>
      </c>
      <c r="L181" s="4"/>
      <c r="M181" s="6">
        <v>-1867639</v>
      </c>
      <c r="N181" s="6">
        <f t="shared" si="20"/>
        <v>-1314835</v>
      </c>
      <c r="O181" s="4">
        <v>1327189</v>
      </c>
      <c r="P181" s="4">
        <f t="shared" si="18"/>
        <v>552804</v>
      </c>
      <c r="Q181" s="5">
        <v>18.739999999999998</v>
      </c>
      <c r="R181" s="6">
        <f t="shared" si="19"/>
        <v>-1.8929292929292927</v>
      </c>
      <c r="S181" s="27">
        <f t="shared" si="26"/>
        <v>-0.11851766580209215</v>
      </c>
      <c r="T181" s="27" t="s">
        <v>239</v>
      </c>
      <c r="U181" s="4"/>
      <c r="V181" s="4"/>
    </row>
    <row r="182" spans="1:22" s="6" customFormat="1" ht="17">
      <c r="A182" s="6" t="s">
        <v>187</v>
      </c>
      <c r="B182" s="6">
        <v>2017</v>
      </c>
      <c r="C182" s="9">
        <v>6176776</v>
      </c>
      <c r="D182" s="9">
        <f t="shared" si="27"/>
        <v>3782168</v>
      </c>
      <c r="E182" s="4">
        <v>2394608</v>
      </c>
      <c r="F182" s="4">
        <v>1129376</v>
      </c>
      <c r="G182" s="4">
        <v>1297865</v>
      </c>
      <c r="H182" s="3">
        <f t="shared" si="22"/>
        <v>-168489</v>
      </c>
      <c r="I182" s="3">
        <v>-160843</v>
      </c>
      <c r="J182" s="13">
        <v>-1.44</v>
      </c>
      <c r="K182" s="9">
        <v>515390</v>
      </c>
      <c r="L182" s="4"/>
      <c r="M182" s="6">
        <v>-201530</v>
      </c>
      <c r="N182" s="6">
        <f t="shared" si="20"/>
        <v>313860</v>
      </c>
      <c r="O182" s="4">
        <v>-12289</v>
      </c>
      <c r="P182" s="4">
        <f t="shared" si="18"/>
        <v>515390</v>
      </c>
      <c r="Q182" s="5">
        <v>24.02</v>
      </c>
      <c r="R182" s="6">
        <f t="shared" si="19"/>
        <v>-16.680555555555557</v>
      </c>
      <c r="S182" s="27">
        <f t="shared" si="26"/>
        <v>-2.6039960005025276E-2</v>
      </c>
      <c r="T182" s="27" t="s">
        <v>239</v>
      </c>
      <c r="U182" s="4"/>
      <c r="V182" s="4"/>
    </row>
    <row r="183" spans="1:22" s="6" customFormat="1" ht="17">
      <c r="A183" s="6" t="s">
        <v>187</v>
      </c>
      <c r="B183" s="6">
        <v>2018</v>
      </c>
      <c r="C183" s="9">
        <v>6352862</v>
      </c>
      <c r="D183" s="9">
        <f t="shared" si="27"/>
        <v>3432540</v>
      </c>
      <c r="E183" s="4">
        <v>2920322</v>
      </c>
      <c r="F183" s="4">
        <v>2067072</v>
      </c>
      <c r="G183" s="4">
        <v>1230735</v>
      </c>
      <c r="H183" s="3">
        <f>F183-G183</f>
        <v>836337</v>
      </c>
      <c r="I183" s="3">
        <v>508407</v>
      </c>
      <c r="J183" s="13">
        <v>4.54</v>
      </c>
      <c r="K183" s="9">
        <v>720629</v>
      </c>
      <c r="L183" s="4"/>
      <c r="M183" s="6">
        <v>-587934</v>
      </c>
      <c r="N183" s="6">
        <f t="shared" si="20"/>
        <v>132695</v>
      </c>
      <c r="O183" s="4">
        <v>-368673</v>
      </c>
      <c r="P183" s="4">
        <f t="shared" si="18"/>
        <v>720629</v>
      </c>
      <c r="Q183" s="5">
        <v>18.03</v>
      </c>
      <c r="R183" s="6">
        <f t="shared" si="19"/>
        <v>3.9713656387665202</v>
      </c>
      <c r="S183" s="27">
        <f t="shared" si="26"/>
        <v>8.0028025164091396E-2</v>
      </c>
      <c r="T183" s="27" t="s">
        <v>239</v>
      </c>
      <c r="U183" s="4"/>
      <c r="V183" s="4"/>
    </row>
    <row r="184" spans="1:22" s="6" customFormat="1" ht="17">
      <c r="A184" s="6" t="s">
        <v>187</v>
      </c>
      <c r="B184" s="6">
        <v>2019</v>
      </c>
      <c r="C184" s="9">
        <v>6292232</v>
      </c>
      <c r="D184" s="9">
        <f t="shared" si="27"/>
        <v>3543238</v>
      </c>
      <c r="E184" s="4">
        <v>2748994</v>
      </c>
      <c r="F184" s="4">
        <v>1590105</v>
      </c>
      <c r="G184" s="4">
        <v>1660073</v>
      </c>
      <c r="H184" s="3">
        <f>F184-G184</f>
        <v>-69968</v>
      </c>
      <c r="I184" s="3">
        <v>-187001</v>
      </c>
      <c r="J184" s="13">
        <v>-1.66</v>
      </c>
      <c r="K184" s="9">
        <v>823567</v>
      </c>
      <c r="L184" s="4"/>
      <c r="M184" s="6">
        <v>-1013291</v>
      </c>
      <c r="N184" s="6">
        <f t="shared" si="20"/>
        <v>-189724</v>
      </c>
      <c r="O184" s="4">
        <v>111769</v>
      </c>
      <c r="P184" s="4">
        <f t="shared" si="18"/>
        <v>823567</v>
      </c>
      <c r="Q184" s="5">
        <v>17.489999999999998</v>
      </c>
      <c r="R184" s="6">
        <f t="shared" si="19"/>
        <v>-10.536144578313253</v>
      </c>
      <c r="S184" s="27">
        <f t="shared" si="26"/>
        <v>-2.9719342834148517E-2</v>
      </c>
      <c r="T184" s="27" t="s">
        <v>239</v>
      </c>
      <c r="U184" s="4"/>
      <c r="V184" s="4"/>
    </row>
    <row r="185" spans="1:22" s="6" customFormat="1" ht="17">
      <c r="A185" s="6" t="s">
        <v>187</v>
      </c>
      <c r="B185" s="6">
        <v>2020</v>
      </c>
      <c r="C185" s="9">
        <v>4976431</v>
      </c>
      <c r="D185" s="9">
        <f t="shared" si="27"/>
        <v>2960271</v>
      </c>
      <c r="E185" s="4">
        <v>2016160</v>
      </c>
      <c r="F185" s="4">
        <v>1126673</v>
      </c>
      <c r="G185" s="4">
        <v>2195623</v>
      </c>
      <c r="H185" s="3">
        <f t="shared" si="22"/>
        <v>-1068950</v>
      </c>
      <c r="I185" s="3">
        <v>-764614</v>
      </c>
      <c r="J185" s="13">
        <v>-6.72</v>
      </c>
      <c r="K185" s="9">
        <v>790944</v>
      </c>
      <c r="L185" s="4"/>
      <c r="M185" s="6">
        <v>-555566</v>
      </c>
      <c r="N185" s="6">
        <f t="shared" si="20"/>
        <v>235378</v>
      </c>
      <c r="O185" s="4">
        <v>-235378</v>
      </c>
      <c r="P185" s="4">
        <f t="shared" si="18"/>
        <v>790944</v>
      </c>
      <c r="Q185" s="5">
        <v>1.22</v>
      </c>
      <c r="R185" s="6">
        <f t="shared" si="19"/>
        <v>-0.18154761904761904</v>
      </c>
      <c r="S185" s="27">
        <f t="shared" si="26"/>
        <v>-0.15364706151858631</v>
      </c>
      <c r="T185" s="27" t="s">
        <v>239</v>
      </c>
      <c r="U185" s="4"/>
      <c r="V185" s="4"/>
    </row>
    <row r="186" spans="1:22" s="6" customFormat="1" ht="17">
      <c r="A186" s="6" t="s">
        <v>187</v>
      </c>
      <c r="B186" s="6">
        <v>2021</v>
      </c>
      <c r="C186" s="9">
        <v>5233977</v>
      </c>
      <c r="D186" s="9">
        <f t="shared" ref="D186:D198" si="28">C186-E186</f>
        <v>3170846</v>
      </c>
      <c r="E186" s="4">
        <v>2063131</v>
      </c>
      <c r="F186" s="4">
        <v>2622894</v>
      </c>
      <c r="G186" s="4">
        <v>2413771</v>
      </c>
      <c r="H186" s="3">
        <f t="shared" si="22"/>
        <v>209123</v>
      </c>
      <c r="I186" s="3">
        <v>36229</v>
      </c>
      <c r="J186" s="13">
        <v>0.3</v>
      </c>
      <c r="K186" s="9">
        <v>1159772</v>
      </c>
      <c r="L186" s="4"/>
      <c r="M186" s="6">
        <v>-667235</v>
      </c>
      <c r="N186" s="6">
        <f t="shared" si="20"/>
        <v>492537</v>
      </c>
      <c r="O186" s="4">
        <v>-159831</v>
      </c>
      <c r="P186" s="4">
        <f t="shared" si="18"/>
        <v>1159772</v>
      </c>
      <c r="Q186" s="5">
        <v>16.37</v>
      </c>
      <c r="R186" s="6">
        <f t="shared" si="19"/>
        <v>54.56666666666667</v>
      </c>
      <c r="S186" s="27">
        <f t="shared" si="26"/>
        <v>6.9218875054284723E-3</v>
      </c>
      <c r="T186" s="27" t="s">
        <v>239</v>
      </c>
      <c r="U186" s="4"/>
      <c r="V186" s="4"/>
    </row>
    <row r="187" spans="1:22" s="6" customFormat="1" ht="17">
      <c r="A187" s="6" t="s">
        <v>187</v>
      </c>
      <c r="B187" s="6">
        <v>2022</v>
      </c>
      <c r="C187" s="9">
        <v>5716039</v>
      </c>
      <c r="D187" s="9">
        <f t="shared" si="28"/>
        <v>2630581</v>
      </c>
      <c r="E187" s="4">
        <v>3085458</v>
      </c>
      <c r="F187" s="4">
        <v>3358647</v>
      </c>
      <c r="G187" s="4">
        <v>1779166</v>
      </c>
      <c r="H187" s="3">
        <f t="shared" si="22"/>
        <v>1579481</v>
      </c>
      <c r="I187" s="3">
        <v>1111952</v>
      </c>
      <c r="J187" s="13">
        <v>9.09</v>
      </c>
      <c r="K187" s="9">
        <v>1686406</v>
      </c>
      <c r="L187" s="4"/>
      <c r="M187" s="6">
        <v>-880263</v>
      </c>
      <c r="N187" s="6">
        <f t="shared" si="20"/>
        <v>806143</v>
      </c>
      <c r="O187" s="4">
        <v>-693861</v>
      </c>
      <c r="P187" s="4">
        <f t="shared" si="18"/>
        <v>1686406</v>
      </c>
      <c r="Q187" s="5">
        <v>38.950000000000003</v>
      </c>
      <c r="R187" s="6">
        <f t="shared" si="19"/>
        <v>4.2849284928492857</v>
      </c>
      <c r="S187" s="27">
        <f t="shared" si="26"/>
        <v>0.19453191274587175</v>
      </c>
      <c r="T187" s="27" t="s">
        <v>239</v>
      </c>
      <c r="U187" s="4"/>
      <c r="V187" s="4"/>
    </row>
    <row r="188" spans="1:22" s="6" customFormat="1" ht="17">
      <c r="A188" s="6" t="s">
        <v>199</v>
      </c>
      <c r="B188" s="6">
        <v>2012</v>
      </c>
      <c r="C188" s="9">
        <v>6737527</v>
      </c>
      <c r="D188" s="9">
        <f t="shared" si="28"/>
        <v>3701655</v>
      </c>
      <c r="E188" s="4">
        <v>3035872</v>
      </c>
      <c r="F188" s="4">
        <v>2730000</v>
      </c>
      <c r="G188" s="4">
        <v>3831000</v>
      </c>
      <c r="H188" s="3">
        <f t="shared" si="22"/>
        <v>-1101000</v>
      </c>
      <c r="I188" s="3">
        <v>-707000</v>
      </c>
      <c r="J188" s="13">
        <v>-2.0299999999999998</v>
      </c>
      <c r="K188" s="9">
        <v>1654000</v>
      </c>
      <c r="L188" s="4"/>
      <c r="M188" s="6">
        <v>-1907000</v>
      </c>
      <c r="N188" s="6">
        <f t="shared" si="20"/>
        <v>-253000</v>
      </c>
      <c r="O188" s="4">
        <v>291000</v>
      </c>
      <c r="P188" s="4">
        <f t="shared" si="18"/>
        <v>1654000</v>
      </c>
      <c r="Q188" s="5">
        <v>30.6</v>
      </c>
      <c r="R188" s="6">
        <f t="shared" si="19"/>
        <v>-15.073891625615765</v>
      </c>
      <c r="S188" s="27">
        <f t="shared" si="26"/>
        <v>-0.10493464441775149</v>
      </c>
      <c r="T188" s="27" t="s">
        <v>239</v>
      </c>
      <c r="U188" s="4"/>
      <c r="V188" s="4"/>
    </row>
    <row r="189" spans="1:22" s="6" customFormat="1" ht="17">
      <c r="A189" s="6" t="s">
        <v>199</v>
      </c>
      <c r="B189" s="6">
        <v>2013</v>
      </c>
      <c r="C189" s="9">
        <v>8048000</v>
      </c>
      <c r="D189" s="9">
        <f t="shared" si="28"/>
        <v>4426000</v>
      </c>
      <c r="E189" s="4">
        <v>3622000</v>
      </c>
      <c r="F189" s="4">
        <v>3371000</v>
      </c>
      <c r="G189" s="4">
        <v>2167000</v>
      </c>
      <c r="H189" s="3">
        <f t="shared" si="22"/>
        <v>1204000</v>
      </c>
      <c r="I189" s="3">
        <v>704000</v>
      </c>
      <c r="J189" s="13">
        <v>2.0099999999999998</v>
      </c>
      <c r="K189" s="9">
        <v>1909000</v>
      </c>
      <c r="L189" s="4"/>
      <c r="M189" s="6">
        <v>-2216000</v>
      </c>
      <c r="N189" s="6">
        <f t="shared" si="20"/>
        <v>-307000</v>
      </c>
      <c r="O189" s="4">
        <v>277000</v>
      </c>
      <c r="P189" s="4">
        <f t="shared" si="18"/>
        <v>1909000</v>
      </c>
      <c r="Q189" s="5">
        <v>37.26</v>
      </c>
      <c r="R189" s="6">
        <f t="shared" si="19"/>
        <v>18.537313432835823</v>
      </c>
      <c r="S189" s="27">
        <f t="shared" si="26"/>
        <v>8.74751491053678E-2</v>
      </c>
      <c r="T189" s="27" t="s">
        <v>239</v>
      </c>
      <c r="U189" s="4"/>
      <c r="V189" s="4"/>
    </row>
    <row r="190" spans="1:22" s="6" customFormat="1" ht="17">
      <c r="A190" s="6" t="s">
        <v>199</v>
      </c>
      <c r="B190" s="6">
        <v>2014</v>
      </c>
      <c r="C190" s="9">
        <v>14925000</v>
      </c>
      <c r="D190" s="9">
        <f t="shared" si="28"/>
        <v>10263000</v>
      </c>
      <c r="E190" s="4">
        <v>4662000</v>
      </c>
      <c r="F190" s="4">
        <v>4038000</v>
      </c>
      <c r="G190" s="4">
        <v>2665000</v>
      </c>
      <c r="H190" s="3">
        <f t="shared" si="22"/>
        <v>1373000</v>
      </c>
      <c r="I190" s="3">
        <v>924000</v>
      </c>
      <c r="J190" s="13">
        <v>2.63</v>
      </c>
      <c r="K190" s="9">
        <v>2335000</v>
      </c>
      <c r="L190" s="4"/>
      <c r="M190" s="6">
        <v>-7288000</v>
      </c>
      <c r="N190" s="6">
        <f t="shared" si="20"/>
        <v>-4953000</v>
      </c>
      <c r="O190" s="4">
        <v>4983000</v>
      </c>
      <c r="P190" s="4">
        <f t="shared" si="18"/>
        <v>2335000</v>
      </c>
      <c r="Q190" s="5">
        <v>46.01</v>
      </c>
      <c r="R190" s="6">
        <f t="shared" si="19"/>
        <v>17.494296577946766</v>
      </c>
      <c r="S190" s="27">
        <f t="shared" si="26"/>
        <v>6.190954773869347E-2</v>
      </c>
      <c r="T190" s="27" t="s">
        <v>239</v>
      </c>
      <c r="U190" s="4"/>
      <c r="V190" s="4"/>
    </row>
    <row r="191" spans="1:22" s="6" customFormat="1" ht="17">
      <c r="A191" s="6" t="s">
        <v>199</v>
      </c>
      <c r="B191" s="6">
        <v>2015</v>
      </c>
      <c r="C191" s="9">
        <v>8110000</v>
      </c>
      <c r="D191" s="9">
        <f t="shared" si="28"/>
        <v>5828000</v>
      </c>
      <c r="E191" s="4">
        <v>2282000</v>
      </c>
      <c r="F191" s="4">
        <v>3133000</v>
      </c>
      <c r="G191" s="4">
        <v>9655000</v>
      </c>
      <c r="H191" s="3">
        <f t="shared" si="22"/>
        <v>-6522000</v>
      </c>
      <c r="I191" s="3">
        <v>-4556</v>
      </c>
      <c r="J191" s="13">
        <v>-12.25</v>
      </c>
      <c r="K191" s="9">
        <v>1580000</v>
      </c>
      <c r="L191" s="4"/>
      <c r="M191" s="6">
        <v>-1638000</v>
      </c>
      <c r="N191" s="6">
        <f t="shared" si="20"/>
        <v>-58000</v>
      </c>
      <c r="O191" s="4">
        <v>20000</v>
      </c>
      <c r="P191" s="4">
        <f t="shared" si="18"/>
        <v>1580000</v>
      </c>
      <c r="Q191" s="5">
        <v>23.19</v>
      </c>
      <c r="R191" s="6">
        <f t="shared" si="19"/>
        <v>-1.893061224489796</v>
      </c>
      <c r="S191" s="27">
        <f t="shared" si="26"/>
        <v>-5.6177558569667078E-4</v>
      </c>
      <c r="T191" s="27" t="s">
        <v>239</v>
      </c>
      <c r="U191" s="4"/>
      <c r="V191" s="4"/>
    </row>
    <row r="192" spans="1:22" s="6" customFormat="1" ht="17">
      <c r="A192" s="6" t="s">
        <v>199</v>
      </c>
      <c r="B192" s="6">
        <v>2016</v>
      </c>
      <c r="C192" s="9">
        <v>7076000</v>
      </c>
      <c r="D192" s="9">
        <f t="shared" si="28"/>
        <v>6159000</v>
      </c>
      <c r="E192" s="4">
        <v>917000</v>
      </c>
      <c r="F192" s="4">
        <v>2436000</v>
      </c>
      <c r="G192" s="4">
        <v>4631000</v>
      </c>
      <c r="H192" s="3">
        <f t="shared" si="22"/>
        <v>-2195000</v>
      </c>
      <c r="I192" s="3">
        <v>-2643</v>
      </c>
      <c r="J192" s="13">
        <v>-6.32</v>
      </c>
      <c r="K192" s="9">
        <v>498000</v>
      </c>
      <c r="L192" s="4"/>
      <c r="M192" s="6">
        <v>-162000</v>
      </c>
      <c r="N192" s="6">
        <f t="shared" si="20"/>
        <v>336000</v>
      </c>
      <c r="O192" s="4">
        <v>1072</v>
      </c>
      <c r="P192" s="4">
        <f t="shared" si="18"/>
        <v>498000</v>
      </c>
      <c r="Q192" s="5">
        <v>8.07</v>
      </c>
      <c r="R192" s="6">
        <f t="shared" si="19"/>
        <v>-1.2768987341772151</v>
      </c>
      <c r="S192" s="27">
        <f t="shared" si="26"/>
        <v>-3.735161107970605E-4</v>
      </c>
      <c r="T192" s="27" t="s">
        <v>239</v>
      </c>
      <c r="U192" s="4"/>
      <c r="V192" s="4"/>
    </row>
    <row r="193" spans="1:22" s="6" customFormat="1" ht="17">
      <c r="A193" s="6" t="s">
        <v>199</v>
      </c>
      <c r="B193" s="6">
        <v>2017</v>
      </c>
      <c r="C193" s="9">
        <v>7521000</v>
      </c>
      <c r="D193" s="9">
        <f t="shared" si="28"/>
        <v>5542000</v>
      </c>
      <c r="E193" s="4">
        <v>1979000</v>
      </c>
      <c r="F193" s="4">
        <v>3203000</v>
      </c>
      <c r="G193" s="4">
        <v>2472000</v>
      </c>
      <c r="H193" s="3">
        <f t="shared" si="22"/>
        <v>731000</v>
      </c>
      <c r="I193" s="3">
        <v>1046</v>
      </c>
      <c r="J193" s="13">
        <v>1.64</v>
      </c>
      <c r="K193" s="9">
        <v>1097000</v>
      </c>
      <c r="L193" s="4"/>
      <c r="M193" s="6">
        <v>-1252000</v>
      </c>
      <c r="N193" s="6">
        <f t="shared" si="20"/>
        <v>-155000</v>
      </c>
      <c r="O193" s="4">
        <v>-352000</v>
      </c>
      <c r="P193" s="4">
        <f t="shared" si="18"/>
        <v>1097000</v>
      </c>
      <c r="Q193" s="5">
        <v>8.17</v>
      </c>
      <c r="R193" s="6">
        <f t="shared" si="19"/>
        <v>4.9817073170731714</v>
      </c>
      <c r="S193" s="27">
        <f t="shared" si="26"/>
        <v>1.3907725036564286E-4</v>
      </c>
      <c r="T193" s="27" t="s">
        <v>239</v>
      </c>
      <c r="U193" s="4"/>
      <c r="V193" s="4"/>
    </row>
    <row r="194" spans="1:22" s="6" customFormat="1" ht="17">
      <c r="A194" s="6" t="s">
        <v>199</v>
      </c>
      <c r="B194" s="6">
        <v>2018</v>
      </c>
      <c r="C194" s="9">
        <v>5797000</v>
      </c>
      <c r="D194" s="9">
        <f t="shared" si="28"/>
        <v>3435000</v>
      </c>
      <c r="E194" s="4">
        <v>2362000</v>
      </c>
      <c r="F194" s="4">
        <v>3862000</v>
      </c>
      <c r="G194" s="4">
        <v>3065000</v>
      </c>
      <c r="H194" s="3">
        <f t="shared" si="22"/>
        <v>797000</v>
      </c>
      <c r="I194" s="3">
        <v>535000</v>
      </c>
      <c r="J194" s="13">
        <v>0.93</v>
      </c>
      <c r="K194" s="9">
        <v>1223000</v>
      </c>
      <c r="L194" s="4"/>
      <c r="M194" s="6">
        <v>359000</v>
      </c>
      <c r="N194" s="6">
        <f t="shared" si="20"/>
        <v>1582000</v>
      </c>
      <c r="O194" s="4">
        <v>-2297000</v>
      </c>
      <c r="P194" s="4">
        <f t="shared" ref="P194:P220" si="29">K194-L194</f>
        <v>1223000</v>
      </c>
      <c r="Q194" s="5">
        <v>4.33</v>
      </c>
      <c r="R194" s="6">
        <f t="shared" ref="R194:R220" si="30">Q194/J194</f>
        <v>4.6559139784946231</v>
      </c>
      <c r="S194" s="27">
        <f t="shared" si="26"/>
        <v>9.2289115059513538E-2</v>
      </c>
      <c r="T194" s="27" t="s">
        <v>239</v>
      </c>
      <c r="U194" s="4"/>
      <c r="V194" s="4"/>
    </row>
    <row r="195" spans="1:22" s="6" customFormat="1" ht="17">
      <c r="A195" s="6" t="s">
        <v>199</v>
      </c>
      <c r="B195" s="6">
        <v>2019</v>
      </c>
      <c r="C195" s="9">
        <v>6717000</v>
      </c>
      <c r="D195" s="9">
        <f t="shared" si="28"/>
        <v>3471000</v>
      </c>
      <c r="E195" s="4">
        <v>3246000</v>
      </c>
      <c r="F195" s="4">
        <v>3038000</v>
      </c>
      <c r="G195" s="4">
        <v>2768000</v>
      </c>
      <c r="H195" s="3">
        <f t="shared" si="22"/>
        <v>270000</v>
      </c>
      <c r="I195" s="3">
        <v>891000</v>
      </c>
      <c r="J195" s="13">
        <v>1.65</v>
      </c>
      <c r="K195" s="9">
        <v>964000</v>
      </c>
      <c r="L195" s="4"/>
      <c r="M195" s="6">
        <v>-1045000</v>
      </c>
      <c r="N195" s="6">
        <f t="shared" ref="N195:N220" si="31">K195+M195</f>
        <v>-81000</v>
      </c>
      <c r="O195" s="4">
        <v>-115000</v>
      </c>
      <c r="P195" s="4">
        <f t="shared" si="29"/>
        <v>964000</v>
      </c>
      <c r="Q195" s="5">
        <v>4.6900000000000004</v>
      </c>
      <c r="R195" s="6">
        <f t="shared" si="30"/>
        <v>2.8424242424242427</v>
      </c>
      <c r="S195" s="27">
        <f t="shared" si="26"/>
        <v>0.13264850379633766</v>
      </c>
      <c r="T195" s="27" t="s">
        <v>239</v>
      </c>
      <c r="U195" s="4"/>
      <c r="V195" s="4"/>
    </row>
    <row r="196" spans="1:22" s="6" customFormat="1" ht="17">
      <c r="A196" s="6" t="s">
        <v>199</v>
      </c>
      <c r="B196" s="6">
        <v>2020</v>
      </c>
      <c r="C196" s="9">
        <v>5160000</v>
      </c>
      <c r="D196" s="9">
        <f t="shared" si="28"/>
        <v>4663000</v>
      </c>
      <c r="E196" s="4">
        <v>497000</v>
      </c>
      <c r="F196" s="4">
        <v>2308000</v>
      </c>
      <c r="G196" s="4">
        <v>5179000</v>
      </c>
      <c r="H196" s="3">
        <f t="shared" si="22"/>
        <v>-2871000</v>
      </c>
      <c r="I196" s="3">
        <v>-3112000</v>
      </c>
      <c r="J196" s="13">
        <v>-5.42</v>
      </c>
      <c r="K196" s="9">
        <v>528000</v>
      </c>
      <c r="L196" s="4"/>
      <c r="M196" s="6">
        <v>-881000</v>
      </c>
      <c r="N196" s="6">
        <f t="shared" si="31"/>
        <v>-353000</v>
      </c>
      <c r="O196" s="4">
        <v>361000</v>
      </c>
      <c r="P196" s="4">
        <f t="shared" si="29"/>
        <v>528000</v>
      </c>
      <c r="Q196" s="5">
        <v>1.69</v>
      </c>
      <c r="R196" s="6">
        <f t="shared" si="30"/>
        <v>-0.31180811808118081</v>
      </c>
      <c r="S196" s="27">
        <f t="shared" si="26"/>
        <v>-0.60310077519379846</v>
      </c>
      <c r="T196" s="27" t="s">
        <v>239</v>
      </c>
      <c r="U196" s="4"/>
      <c r="V196" s="4"/>
    </row>
    <row r="197" spans="1:22" s="6" customFormat="1" ht="17">
      <c r="A197" s="6" t="s">
        <v>199</v>
      </c>
      <c r="B197" s="6">
        <v>2021</v>
      </c>
      <c r="C197" s="9">
        <v>11848000</v>
      </c>
      <c r="D197" s="9">
        <f t="shared" si="28"/>
        <v>9301000</v>
      </c>
      <c r="E197" s="4">
        <v>2547000</v>
      </c>
      <c r="F197" s="4">
        <v>6667000</v>
      </c>
      <c r="G197" s="4">
        <v>4032000</v>
      </c>
      <c r="H197" s="3">
        <f t="shared" si="22"/>
        <v>2635000</v>
      </c>
      <c r="I197" s="3">
        <v>-25000</v>
      </c>
      <c r="J197" s="13">
        <v>-0.03</v>
      </c>
      <c r="K197" s="9">
        <v>1363000</v>
      </c>
      <c r="L197" s="4"/>
      <c r="M197" s="6">
        <v>-2604000</v>
      </c>
      <c r="N197" s="6">
        <f t="shared" si="31"/>
        <v>-1241000</v>
      </c>
      <c r="O197" s="4">
        <v>1256000</v>
      </c>
      <c r="P197" s="4">
        <f t="shared" si="29"/>
        <v>1363000</v>
      </c>
      <c r="Q197" s="5">
        <v>4.6500000000000004</v>
      </c>
      <c r="R197" s="6">
        <f t="shared" si="30"/>
        <v>-155.00000000000003</v>
      </c>
      <c r="S197" s="27">
        <f t="shared" si="26"/>
        <v>-2.110060769750169E-3</v>
      </c>
      <c r="T197" s="27" t="s">
        <v>239</v>
      </c>
      <c r="U197" s="4"/>
      <c r="V197" s="4"/>
    </row>
    <row r="198" spans="1:22" s="6" customFormat="1" ht="17">
      <c r="A198" s="6" t="s">
        <v>199</v>
      </c>
      <c r="B198" s="6">
        <v>2022</v>
      </c>
      <c r="C198" s="9">
        <v>12926000</v>
      </c>
      <c r="D198" s="9">
        <f t="shared" si="28"/>
        <v>8602000</v>
      </c>
      <c r="E198" s="4">
        <v>4324000</v>
      </c>
      <c r="F198" s="4">
        <v>15002000</v>
      </c>
      <c r="G198" s="4">
        <v>7648000</v>
      </c>
      <c r="H198" s="3">
        <f t="shared" si="22"/>
        <v>7354000</v>
      </c>
      <c r="I198" s="3">
        <v>1849000</v>
      </c>
      <c r="J198" s="13">
        <v>1.67</v>
      </c>
      <c r="K198" s="9">
        <v>3154000</v>
      </c>
      <c r="L198" s="4"/>
      <c r="M198" s="6">
        <v>-2043000</v>
      </c>
      <c r="N198" s="6">
        <f t="shared" si="31"/>
        <v>1111000</v>
      </c>
      <c r="O198" s="4">
        <v>-1089000</v>
      </c>
      <c r="P198" s="4">
        <f t="shared" si="29"/>
        <v>3154000</v>
      </c>
      <c r="Q198" s="5">
        <v>7.17</v>
      </c>
      <c r="R198" s="6">
        <f t="shared" si="30"/>
        <v>4.293413173652695</v>
      </c>
      <c r="S198" s="27">
        <f t="shared" si="26"/>
        <v>0.14304502552993967</v>
      </c>
      <c r="T198" s="27" t="s">
        <v>239</v>
      </c>
      <c r="U198" s="4"/>
      <c r="V198" s="4"/>
    </row>
    <row r="199" spans="1:22" s="6" customFormat="1" ht="17">
      <c r="A199" s="6" t="s">
        <v>211</v>
      </c>
      <c r="B199" s="6">
        <v>2012</v>
      </c>
      <c r="C199" s="9">
        <v>2338304</v>
      </c>
      <c r="D199" s="9">
        <v>1506581</v>
      </c>
      <c r="E199" s="4">
        <f t="shared" ref="E199:E220" si="32">C199-D199</f>
        <v>831723</v>
      </c>
      <c r="F199" s="4">
        <v>583894</v>
      </c>
      <c r="G199" s="4">
        <v>411954</v>
      </c>
      <c r="H199" s="3">
        <f t="shared" si="22"/>
        <v>171940</v>
      </c>
      <c r="I199" s="3">
        <v>61654</v>
      </c>
      <c r="J199" s="13">
        <v>0.49</v>
      </c>
      <c r="K199" s="9">
        <v>376776</v>
      </c>
      <c r="L199" s="4"/>
      <c r="M199" s="6">
        <v>-940751</v>
      </c>
      <c r="N199" s="6">
        <f t="shared" si="31"/>
        <v>-563975</v>
      </c>
      <c r="O199" s="4">
        <v>569197</v>
      </c>
      <c r="P199" s="4">
        <f t="shared" si="29"/>
        <v>376776</v>
      </c>
      <c r="Q199" s="5">
        <v>9376</v>
      </c>
      <c r="R199" s="6">
        <f t="shared" si="30"/>
        <v>19134.693877551021</v>
      </c>
      <c r="S199" s="27">
        <f t="shared" si="26"/>
        <v>2.6366973669805123E-2</v>
      </c>
      <c r="T199" s="27" t="s">
        <v>239</v>
      </c>
      <c r="U199" s="4"/>
      <c r="V199" s="4"/>
    </row>
    <row r="200" spans="1:22" s="6" customFormat="1" ht="17">
      <c r="A200" s="6" t="s">
        <v>211</v>
      </c>
      <c r="B200" s="6">
        <v>2013</v>
      </c>
      <c r="C200" s="9">
        <v>2623760</v>
      </c>
      <c r="D200" s="9">
        <v>1351504</v>
      </c>
      <c r="E200" s="4">
        <f t="shared" si="32"/>
        <v>1272256</v>
      </c>
      <c r="F200" s="4">
        <v>665257</v>
      </c>
      <c r="G200" s="4">
        <v>450906</v>
      </c>
      <c r="H200" s="3">
        <f t="shared" ref="H200:H220" si="33">F200-G200</f>
        <v>214351</v>
      </c>
      <c r="I200" s="3">
        <v>118000</v>
      </c>
      <c r="J200" s="13">
        <v>0.88</v>
      </c>
      <c r="K200" s="9">
        <v>364729</v>
      </c>
      <c r="L200" s="4"/>
      <c r="M200" s="6">
        <v>-329884</v>
      </c>
      <c r="N200" s="6">
        <f t="shared" si="31"/>
        <v>34845</v>
      </c>
      <c r="O200" s="4">
        <v>130084</v>
      </c>
      <c r="P200" s="4">
        <f t="shared" si="29"/>
        <v>364729</v>
      </c>
      <c r="Q200" s="5">
        <v>7316</v>
      </c>
      <c r="R200" s="6">
        <f t="shared" si="30"/>
        <v>8313.636363636364</v>
      </c>
      <c r="S200" s="27">
        <f t="shared" si="26"/>
        <v>4.4973625636491141E-2</v>
      </c>
      <c r="T200" s="27" t="s">
        <v>239</v>
      </c>
      <c r="U200" s="4"/>
      <c r="V200" s="4"/>
    </row>
    <row r="201" spans="1:22" s="6" customFormat="1" ht="17">
      <c r="A201" s="6" t="s">
        <v>211</v>
      </c>
      <c r="B201" s="6">
        <v>2014</v>
      </c>
      <c r="C201" s="9">
        <v>3932549</v>
      </c>
      <c r="D201" s="9">
        <v>2369348</v>
      </c>
      <c r="E201" s="4">
        <f t="shared" si="32"/>
        <v>1563201</v>
      </c>
      <c r="F201" s="4">
        <v>793885</v>
      </c>
      <c r="G201" s="4">
        <v>567499</v>
      </c>
      <c r="H201" s="3">
        <f t="shared" si="33"/>
        <v>226386</v>
      </c>
      <c r="I201" s="3">
        <v>265573</v>
      </c>
      <c r="J201" s="13">
        <v>1.88</v>
      </c>
      <c r="K201" s="9">
        <v>498277</v>
      </c>
      <c r="L201" s="4"/>
      <c r="M201" s="6">
        <v>-1406961</v>
      </c>
      <c r="N201" s="6">
        <f t="shared" si="31"/>
        <v>-908684</v>
      </c>
      <c r="O201" s="4">
        <v>739852</v>
      </c>
      <c r="P201" s="4">
        <f t="shared" si="29"/>
        <v>498277</v>
      </c>
      <c r="Q201" s="5">
        <v>10344</v>
      </c>
      <c r="R201" s="6">
        <f t="shared" si="30"/>
        <v>5502.1276595744685</v>
      </c>
      <c r="S201" s="27">
        <f t="shared" si="26"/>
        <v>6.75320256657959E-2</v>
      </c>
      <c r="T201" s="27" t="s">
        <v>239</v>
      </c>
      <c r="U201" s="4"/>
      <c r="V201" s="4"/>
    </row>
    <row r="202" spans="1:22" s="6" customFormat="1" ht="17">
      <c r="A202" s="6" t="s">
        <v>211</v>
      </c>
      <c r="B202" s="6">
        <v>2015</v>
      </c>
      <c r="C202" s="9">
        <v>1813287</v>
      </c>
      <c r="D202" s="9">
        <v>1681840</v>
      </c>
      <c r="E202" s="4">
        <f t="shared" si="32"/>
        <v>131447</v>
      </c>
      <c r="F202" s="4">
        <v>606640</v>
      </c>
      <c r="G202" s="4">
        <v>3078154</v>
      </c>
      <c r="H202" s="3">
        <f t="shared" si="33"/>
        <v>-2471514</v>
      </c>
      <c r="I202" s="3">
        <v>-2209936</v>
      </c>
      <c r="J202" s="13">
        <v>-11.1</v>
      </c>
      <c r="K202" s="9">
        <v>315947</v>
      </c>
      <c r="L202" s="4"/>
      <c r="M202" s="6">
        <v>-667507</v>
      </c>
      <c r="N202" s="6">
        <f t="shared" si="31"/>
        <v>-351560</v>
      </c>
      <c r="O202" s="4">
        <v>353393</v>
      </c>
      <c r="P202" s="4">
        <f t="shared" si="29"/>
        <v>315947</v>
      </c>
      <c r="Q202" s="5">
        <v>5216</v>
      </c>
      <c r="R202" s="6">
        <f t="shared" si="30"/>
        <v>-469.90990990990991</v>
      </c>
      <c r="S202" s="27">
        <f t="shared" si="26"/>
        <v>-1.2187458466310077</v>
      </c>
      <c r="T202" s="27" t="s">
        <v>239</v>
      </c>
      <c r="U202" s="4"/>
      <c r="V202" s="4"/>
    </row>
    <row r="203" spans="1:22" s="6" customFormat="1" ht="17">
      <c r="A203" s="6" t="s">
        <v>211</v>
      </c>
      <c r="B203" s="6">
        <v>2016</v>
      </c>
      <c r="C203" s="9">
        <v>1782346</v>
      </c>
      <c r="D203" s="9">
        <v>1601773</v>
      </c>
      <c r="E203" s="4">
        <f t="shared" si="32"/>
        <v>180573</v>
      </c>
      <c r="F203" s="4">
        <v>597378</v>
      </c>
      <c r="G203" s="4">
        <v>685340</v>
      </c>
      <c r="H203" s="3">
        <f t="shared" si="33"/>
        <v>-87962</v>
      </c>
      <c r="I203" s="3">
        <v>-260739</v>
      </c>
      <c r="J203" s="13">
        <v>-1.1599999999999999</v>
      </c>
      <c r="K203" s="9">
        <v>356295</v>
      </c>
      <c r="L203" s="4"/>
      <c r="M203" s="6">
        <v>-564402</v>
      </c>
      <c r="N203" s="6">
        <f t="shared" si="31"/>
        <v>-208107</v>
      </c>
      <c r="O203" s="4">
        <v>209625</v>
      </c>
      <c r="P203" s="4">
        <f t="shared" si="29"/>
        <v>356295</v>
      </c>
      <c r="Q203" s="5">
        <v>3172</v>
      </c>
      <c r="R203" s="6">
        <f t="shared" si="30"/>
        <v>-2734.4827586206898</v>
      </c>
      <c r="S203" s="27">
        <f t="shared" si="26"/>
        <v>-0.1462897776301571</v>
      </c>
      <c r="T203" s="27" t="s">
        <v>239</v>
      </c>
      <c r="U203" s="4"/>
      <c r="V203" s="4"/>
    </row>
    <row r="204" spans="1:22" s="6" customFormat="1" ht="17">
      <c r="A204" s="6" t="s">
        <v>211</v>
      </c>
      <c r="B204" s="6">
        <v>2017</v>
      </c>
      <c r="C204" s="9">
        <v>2023289</v>
      </c>
      <c r="D204" s="9">
        <v>1257710</v>
      </c>
      <c r="E204" s="4">
        <f t="shared" si="32"/>
        <v>765579</v>
      </c>
      <c r="F204" s="4">
        <v>822162</v>
      </c>
      <c r="G204" s="4">
        <v>572490</v>
      </c>
      <c r="H204" s="3">
        <f t="shared" si="33"/>
        <v>249672</v>
      </c>
      <c r="I204" s="3">
        <v>548974</v>
      </c>
      <c r="J204" s="13">
        <v>2.2999999999999998</v>
      </c>
      <c r="K204" s="9">
        <v>384914</v>
      </c>
      <c r="L204" s="4"/>
      <c r="M204" s="6">
        <v>295050</v>
      </c>
      <c r="N204" s="6">
        <f t="shared" si="31"/>
        <v>679964</v>
      </c>
      <c r="O204" s="4">
        <v>-600477</v>
      </c>
      <c r="P204" s="4">
        <f t="shared" si="29"/>
        <v>384914</v>
      </c>
      <c r="Q204" s="5">
        <v>5840</v>
      </c>
      <c r="R204" s="6">
        <f t="shared" si="30"/>
        <v>2539.130434782609</v>
      </c>
      <c r="S204" s="27">
        <f t="shared" si="26"/>
        <v>0.27132752661631632</v>
      </c>
      <c r="T204" s="27" t="s">
        <v>239</v>
      </c>
      <c r="U204" s="4"/>
      <c r="V204" s="4"/>
    </row>
    <row r="205" spans="1:22" s="6" customFormat="1" ht="17">
      <c r="A205" s="6" t="s">
        <v>211</v>
      </c>
      <c r="B205" s="6">
        <v>2018</v>
      </c>
      <c r="C205" s="9">
        <v>2420305</v>
      </c>
      <c r="D205" s="9">
        <v>1246075</v>
      </c>
      <c r="E205" s="4">
        <f t="shared" si="32"/>
        <v>1174230</v>
      </c>
      <c r="F205" s="4">
        <v>1105775</v>
      </c>
      <c r="G205" s="4">
        <v>757283</v>
      </c>
      <c r="H205" s="3">
        <f t="shared" si="33"/>
        <v>348492</v>
      </c>
      <c r="I205" s="3">
        <v>324595</v>
      </c>
      <c r="J205" s="13">
        <v>27.94</v>
      </c>
      <c r="K205" s="9">
        <v>537804</v>
      </c>
      <c r="L205" s="4"/>
      <c r="M205" s="6">
        <v>-690956</v>
      </c>
      <c r="N205" s="6">
        <f t="shared" si="31"/>
        <v>-153152</v>
      </c>
      <c r="O205" s="4">
        <v>86144</v>
      </c>
      <c r="P205" s="4">
        <f t="shared" si="29"/>
        <v>537804</v>
      </c>
      <c r="Q205" s="5">
        <v>3484</v>
      </c>
      <c r="R205" s="6">
        <f t="shared" si="30"/>
        <v>124.6957766642806</v>
      </c>
      <c r="S205" s="27">
        <f t="shared" si="26"/>
        <v>0.13411326258467424</v>
      </c>
      <c r="T205" s="27" t="s">
        <v>239</v>
      </c>
      <c r="U205" s="4"/>
      <c r="V205" s="4"/>
    </row>
    <row r="206" spans="1:22" s="6" customFormat="1" ht="17">
      <c r="A206" s="6" t="s">
        <v>211</v>
      </c>
      <c r="B206" s="6">
        <v>2019</v>
      </c>
      <c r="C206" s="9">
        <v>2264437</v>
      </c>
      <c r="D206" s="9">
        <v>1422563</v>
      </c>
      <c r="E206" s="4">
        <f t="shared" si="32"/>
        <v>841874</v>
      </c>
      <c r="F206" s="4">
        <v>837281</v>
      </c>
      <c r="G206" s="4">
        <v>1245872</v>
      </c>
      <c r="H206" s="3">
        <f t="shared" si="33"/>
        <v>-408591</v>
      </c>
      <c r="I206" s="3">
        <v>-342459</v>
      </c>
      <c r="J206" s="13">
        <v>-29.61</v>
      </c>
      <c r="K206" s="9">
        <v>475074</v>
      </c>
      <c r="L206" s="4"/>
      <c r="M206" s="6">
        <v>-661711</v>
      </c>
      <c r="N206" s="6">
        <f t="shared" si="31"/>
        <v>-186637</v>
      </c>
      <c r="O206" s="4">
        <v>182343</v>
      </c>
      <c r="P206" s="4">
        <f t="shared" si="29"/>
        <v>475074</v>
      </c>
      <c r="Q206" s="5">
        <v>1236</v>
      </c>
      <c r="R206" s="6">
        <f t="shared" si="30"/>
        <v>-41.742654508611956</v>
      </c>
      <c r="S206" s="27">
        <f t="shared" ref="S206:S220" si="34">I206/C206</f>
        <v>-0.15123361789265941</v>
      </c>
      <c r="T206" s="27" t="s">
        <v>239</v>
      </c>
      <c r="U206" s="4"/>
      <c r="V206" s="4"/>
    </row>
    <row r="207" spans="1:22" s="6" customFormat="1" ht="17">
      <c r="A207" s="6" t="s">
        <v>211</v>
      </c>
      <c r="B207" s="6">
        <v>2020</v>
      </c>
      <c r="C207" s="9">
        <v>1442610</v>
      </c>
      <c r="D207" s="9">
        <v>1464053</v>
      </c>
      <c r="E207" s="4">
        <f t="shared" si="32"/>
        <v>-21443</v>
      </c>
      <c r="F207" s="4">
        <v>677192</v>
      </c>
      <c r="G207" s="4">
        <v>1538925</v>
      </c>
      <c r="H207" s="3">
        <f t="shared" si="33"/>
        <v>-861733</v>
      </c>
      <c r="I207" s="3">
        <v>-874173</v>
      </c>
      <c r="J207" s="13">
        <v>-74.92</v>
      </c>
      <c r="K207" s="9">
        <v>383390</v>
      </c>
      <c r="L207" s="4"/>
      <c r="M207" s="6">
        <v>-389238</v>
      </c>
      <c r="N207" s="6">
        <f t="shared" si="31"/>
        <v>-5848</v>
      </c>
      <c r="O207" s="4">
        <v>13748</v>
      </c>
      <c r="P207" s="4">
        <f t="shared" si="29"/>
        <v>383390</v>
      </c>
      <c r="Q207" s="5">
        <v>152</v>
      </c>
      <c r="R207" s="6">
        <f t="shared" si="30"/>
        <v>-2.0288307528029899</v>
      </c>
      <c r="S207" s="27">
        <f t="shared" si="34"/>
        <v>-0.60596626946991905</v>
      </c>
      <c r="T207" s="27" t="s">
        <v>239</v>
      </c>
      <c r="U207" s="4"/>
      <c r="V207" s="4"/>
    </row>
    <row r="208" spans="1:22" s="6" customFormat="1" ht="17">
      <c r="A208" s="6" t="s">
        <v>211</v>
      </c>
      <c r="B208" s="6">
        <v>2021</v>
      </c>
      <c r="C208" s="9">
        <v>2551824</v>
      </c>
      <c r="D208" s="9">
        <v>2038044</v>
      </c>
      <c r="E208" s="4">
        <f t="shared" si="32"/>
        <v>513780</v>
      </c>
      <c r="F208" s="4">
        <v>1394075</v>
      </c>
      <c r="G208" s="4">
        <f>765663-84551</f>
        <v>681112</v>
      </c>
      <c r="H208" s="3">
        <f>F208-G208</f>
        <v>712963</v>
      </c>
      <c r="I208" s="3">
        <v>145008</v>
      </c>
      <c r="J208" s="13">
        <v>10.18</v>
      </c>
      <c r="K208" s="9">
        <v>496671</v>
      </c>
      <c r="L208" s="4"/>
      <c r="M208" s="6">
        <v>-796811</v>
      </c>
      <c r="N208" s="6">
        <f t="shared" si="31"/>
        <v>-300140</v>
      </c>
      <c r="O208" s="4">
        <v>308181</v>
      </c>
      <c r="P208" s="4">
        <f t="shared" si="29"/>
        <v>496671</v>
      </c>
      <c r="Q208" s="5">
        <v>30</v>
      </c>
      <c r="R208" s="6">
        <f t="shared" si="30"/>
        <v>2.9469548133595285</v>
      </c>
      <c r="S208" s="27">
        <f t="shared" si="34"/>
        <v>5.6825235596185318E-2</v>
      </c>
      <c r="T208" s="27" t="s">
        <v>239</v>
      </c>
      <c r="U208" s="4"/>
      <c r="V208" s="4"/>
    </row>
    <row r="209" spans="1:23" s="6" customFormat="1" ht="17">
      <c r="A209" s="6" t="s">
        <v>211</v>
      </c>
      <c r="B209" s="6">
        <v>2022</v>
      </c>
      <c r="C209" s="9">
        <v>2726114</v>
      </c>
      <c r="D209" s="9">
        <v>1615368</v>
      </c>
      <c r="E209" s="4">
        <f t="shared" si="32"/>
        <v>1110746</v>
      </c>
      <c r="F209" s="4">
        <v>1920796</v>
      </c>
      <c r="G209" s="4">
        <f>859555+1079</f>
        <v>860634</v>
      </c>
      <c r="H209" s="3">
        <f>F209-G209</f>
        <v>1060162</v>
      </c>
      <c r="I209" s="3">
        <v>631512</v>
      </c>
      <c r="J209" s="13">
        <v>37.880000000000003</v>
      </c>
      <c r="K209" s="9">
        <v>829620</v>
      </c>
      <c r="L209" s="4"/>
      <c r="M209" s="6">
        <v>-475952</v>
      </c>
      <c r="N209" s="6">
        <f t="shared" si="31"/>
        <v>353668</v>
      </c>
      <c r="O209" s="4">
        <v>-366031</v>
      </c>
      <c r="P209" s="4">
        <f t="shared" si="29"/>
        <v>829620</v>
      </c>
      <c r="Q209" s="5">
        <v>79</v>
      </c>
      <c r="R209" s="6">
        <f t="shared" si="30"/>
        <v>2.0855332629355861</v>
      </c>
      <c r="S209" s="27">
        <f t="shared" si="34"/>
        <v>0.23165282156212103</v>
      </c>
      <c r="T209" s="27" t="s">
        <v>239</v>
      </c>
      <c r="U209" s="4"/>
      <c r="V209" s="4"/>
    </row>
    <row r="210" spans="1:23" s="23" customFormat="1">
      <c r="A210" s="23" t="s">
        <v>223</v>
      </c>
      <c r="B210" s="23">
        <v>2012</v>
      </c>
      <c r="C210" s="24">
        <v>333795000</v>
      </c>
      <c r="D210" s="24">
        <v>162135000</v>
      </c>
      <c r="E210" s="17">
        <f t="shared" si="32"/>
        <v>171660000</v>
      </c>
      <c r="F210" s="25"/>
      <c r="G210" s="25"/>
      <c r="H210" s="18">
        <f t="shared" si="33"/>
        <v>0</v>
      </c>
      <c r="M210" s="15">
        <v>0</v>
      </c>
      <c r="N210" s="15">
        <f t="shared" si="31"/>
        <v>0</v>
      </c>
      <c r="P210" s="17">
        <f t="shared" si="29"/>
        <v>0</v>
      </c>
      <c r="R210" s="15" t="e">
        <f t="shared" si="30"/>
        <v>#DIV/0!</v>
      </c>
      <c r="S210" s="28">
        <f t="shared" si="34"/>
        <v>0</v>
      </c>
      <c r="T210" s="27" t="s">
        <v>239</v>
      </c>
      <c r="W210" s="15"/>
    </row>
    <row r="211" spans="1:23" s="23" customFormat="1">
      <c r="A211" s="23" t="s">
        <v>223</v>
      </c>
      <c r="B211" s="23">
        <v>2013</v>
      </c>
      <c r="C211" s="25"/>
      <c r="D211" s="25"/>
      <c r="E211" s="17">
        <f t="shared" si="32"/>
        <v>0</v>
      </c>
      <c r="F211" s="25"/>
      <c r="G211" s="25"/>
      <c r="H211" s="18">
        <f t="shared" si="33"/>
        <v>0</v>
      </c>
      <c r="M211" s="15">
        <v>0</v>
      </c>
      <c r="N211" s="15">
        <f t="shared" si="31"/>
        <v>0</v>
      </c>
      <c r="P211" s="17">
        <f t="shared" si="29"/>
        <v>0</v>
      </c>
      <c r="R211" s="15" t="e">
        <f t="shared" si="30"/>
        <v>#DIV/0!</v>
      </c>
      <c r="S211" s="28" t="e">
        <f t="shared" si="34"/>
        <v>#DIV/0!</v>
      </c>
      <c r="T211" s="27" t="s">
        <v>239</v>
      </c>
      <c r="W211" s="15"/>
    </row>
    <row r="212" spans="1:23" s="23" customFormat="1">
      <c r="A212" s="23" t="s">
        <v>223</v>
      </c>
      <c r="B212" s="23">
        <v>2014</v>
      </c>
      <c r="C212" s="25"/>
      <c r="D212" s="25"/>
      <c r="E212" s="17">
        <f t="shared" si="32"/>
        <v>0</v>
      </c>
      <c r="F212" s="25"/>
      <c r="G212" s="25"/>
      <c r="H212" s="18">
        <f t="shared" si="33"/>
        <v>0</v>
      </c>
      <c r="M212" s="15">
        <v>0</v>
      </c>
      <c r="N212" s="15">
        <f t="shared" si="31"/>
        <v>0</v>
      </c>
      <c r="P212" s="17">
        <f t="shared" si="29"/>
        <v>0</v>
      </c>
      <c r="R212" s="15" t="e">
        <f t="shared" si="30"/>
        <v>#DIV/0!</v>
      </c>
      <c r="S212" s="28" t="e">
        <f t="shared" si="34"/>
        <v>#DIV/0!</v>
      </c>
      <c r="T212" s="27" t="s">
        <v>239</v>
      </c>
      <c r="W212" s="15"/>
    </row>
    <row r="213" spans="1:23" s="23" customFormat="1">
      <c r="A213" s="23" t="s">
        <v>223</v>
      </c>
      <c r="B213" s="23">
        <v>2015</v>
      </c>
      <c r="C213" s="25"/>
      <c r="D213" s="25"/>
      <c r="E213" s="17">
        <f t="shared" si="32"/>
        <v>0</v>
      </c>
      <c r="F213" s="25"/>
      <c r="G213" s="25"/>
      <c r="H213" s="18">
        <f t="shared" si="33"/>
        <v>0</v>
      </c>
      <c r="M213" s="15">
        <v>0</v>
      </c>
      <c r="N213" s="15">
        <f t="shared" si="31"/>
        <v>0</v>
      </c>
      <c r="P213" s="17">
        <f t="shared" si="29"/>
        <v>0</v>
      </c>
      <c r="R213" s="15" t="e">
        <f t="shared" si="30"/>
        <v>#DIV/0!</v>
      </c>
      <c r="S213" s="28" t="e">
        <f t="shared" si="34"/>
        <v>#DIV/0!</v>
      </c>
      <c r="T213" s="27" t="s">
        <v>239</v>
      </c>
      <c r="W213" s="15"/>
    </row>
    <row r="214" spans="1:23" s="23" customFormat="1">
      <c r="A214" s="23" t="s">
        <v>223</v>
      </c>
      <c r="B214" s="23">
        <v>2016</v>
      </c>
      <c r="C214" s="25"/>
      <c r="D214" s="25"/>
      <c r="E214" s="17">
        <f t="shared" si="32"/>
        <v>0</v>
      </c>
      <c r="F214" s="25"/>
      <c r="G214" s="25"/>
      <c r="H214" s="18">
        <f t="shared" si="33"/>
        <v>0</v>
      </c>
      <c r="M214" s="15">
        <v>0</v>
      </c>
      <c r="N214" s="15">
        <f t="shared" si="31"/>
        <v>0</v>
      </c>
      <c r="P214" s="17">
        <f t="shared" si="29"/>
        <v>0</v>
      </c>
      <c r="R214" s="15" t="e">
        <f t="shared" si="30"/>
        <v>#DIV/0!</v>
      </c>
      <c r="S214" s="28" t="e">
        <f t="shared" si="34"/>
        <v>#DIV/0!</v>
      </c>
      <c r="T214" s="27" t="s">
        <v>239</v>
      </c>
      <c r="W214" s="15"/>
    </row>
    <row r="215" spans="1:23" s="23" customFormat="1">
      <c r="A215" s="23" t="s">
        <v>223</v>
      </c>
      <c r="B215" s="23">
        <v>2017</v>
      </c>
      <c r="C215" s="25"/>
      <c r="D215" s="25"/>
      <c r="E215" s="17">
        <f t="shared" si="32"/>
        <v>0</v>
      </c>
      <c r="F215" s="25"/>
      <c r="G215" s="25"/>
      <c r="H215" s="18">
        <f t="shared" si="33"/>
        <v>0</v>
      </c>
      <c r="M215" s="15">
        <v>0</v>
      </c>
      <c r="N215" s="15">
        <f t="shared" si="31"/>
        <v>0</v>
      </c>
      <c r="P215" s="17">
        <f t="shared" si="29"/>
        <v>0</v>
      </c>
      <c r="R215" s="15" t="e">
        <f t="shared" si="30"/>
        <v>#DIV/0!</v>
      </c>
      <c r="S215" s="28" t="e">
        <f t="shared" si="34"/>
        <v>#DIV/0!</v>
      </c>
      <c r="T215" s="27" t="s">
        <v>239</v>
      </c>
      <c r="W215" s="15"/>
    </row>
    <row r="216" spans="1:23" s="23" customFormat="1">
      <c r="A216" s="23" t="s">
        <v>223</v>
      </c>
      <c r="B216" s="23">
        <v>2018</v>
      </c>
      <c r="C216" s="25"/>
      <c r="D216" s="25"/>
      <c r="E216" s="17">
        <f t="shared" si="32"/>
        <v>0</v>
      </c>
      <c r="F216" s="25"/>
      <c r="G216" s="25"/>
      <c r="H216" s="18">
        <f t="shared" si="33"/>
        <v>0</v>
      </c>
      <c r="M216" s="15">
        <v>0</v>
      </c>
      <c r="N216" s="15">
        <f t="shared" si="31"/>
        <v>0</v>
      </c>
      <c r="P216" s="17">
        <f t="shared" si="29"/>
        <v>0</v>
      </c>
      <c r="R216" s="15" t="e">
        <f t="shared" si="30"/>
        <v>#DIV/0!</v>
      </c>
      <c r="S216" s="28" t="e">
        <f t="shared" si="34"/>
        <v>#DIV/0!</v>
      </c>
      <c r="T216" s="27" t="s">
        <v>239</v>
      </c>
      <c r="W216" s="15"/>
    </row>
    <row r="217" spans="1:23" s="23" customFormat="1">
      <c r="A217" s="23" t="s">
        <v>223</v>
      </c>
      <c r="B217" s="23">
        <v>2019</v>
      </c>
      <c r="C217" s="25"/>
      <c r="D217" s="25"/>
      <c r="E217" s="17">
        <f t="shared" si="32"/>
        <v>0</v>
      </c>
      <c r="F217" s="25"/>
      <c r="G217" s="25"/>
      <c r="H217" s="18">
        <f t="shared" si="33"/>
        <v>0</v>
      </c>
      <c r="M217" s="15">
        <v>0</v>
      </c>
      <c r="N217" s="15">
        <f t="shared" si="31"/>
        <v>0</v>
      </c>
      <c r="P217" s="17">
        <f t="shared" si="29"/>
        <v>0</v>
      </c>
      <c r="R217" s="15" t="e">
        <f t="shared" si="30"/>
        <v>#DIV/0!</v>
      </c>
      <c r="S217" s="28" t="e">
        <f t="shared" si="34"/>
        <v>#DIV/0!</v>
      </c>
      <c r="T217" s="27" t="s">
        <v>239</v>
      </c>
      <c r="W217" s="15"/>
    </row>
    <row r="218" spans="1:23" s="23" customFormat="1">
      <c r="A218" s="23" t="s">
        <v>223</v>
      </c>
      <c r="B218" s="23">
        <v>2020</v>
      </c>
      <c r="C218" s="25"/>
      <c r="D218" s="25"/>
      <c r="E218" s="17">
        <f t="shared" si="32"/>
        <v>0</v>
      </c>
      <c r="F218" s="25"/>
      <c r="G218" s="25"/>
      <c r="H218" s="18">
        <f t="shared" si="33"/>
        <v>0</v>
      </c>
      <c r="M218" s="15">
        <v>0</v>
      </c>
      <c r="N218" s="15">
        <f t="shared" si="31"/>
        <v>0</v>
      </c>
      <c r="P218" s="17">
        <f t="shared" si="29"/>
        <v>0</v>
      </c>
      <c r="R218" s="15" t="e">
        <f t="shared" si="30"/>
        <v>#DIV/0!</v>
      </c>
      <c r="S218" s="28" t="e">
        <f t="shared" si="34"/>
        <v>#DIV/0!</v>
      </c>
      <c r="T218" s="27" t="s">
        <v>239</v>
      </c>
      <c r="W218" s="15"/>
    </row>
    <row r="219" spans="1:23" s="23" customFormat="1">
      <c r="A219" s="23" t="s">
        <v>223</v>
      </c>
      <c r="B219" s="23">
        <v>2021</v>
      </c>
      <c r="C219" s="25"/>
      <c r="D219" s="25"/>
      <c r="E219" s="17">
        <f t="shared" si="32"/>
        <v>0</v>
      </c>
      <c r="F219" s="25"/>
      <c r="G219" s="25"/>
      <c r="H219" s="18">
        <f t="shared" si="33"/>
        <v>0</v>
      </c>
      <c r="M219" s="15">
        <v>0</v>
      </c>
      <c r="N219" s="15">
        <f t="shared" si="31"/>
        <v>0</v>
      </c>
      <c r="P219" s="17">
        <f t="shared" si="29"/>
        <v>0</v>
      </c>
      <c r="R219" s="15" t="e">
        <f t="shared" si="30"/>
        <v>#DIV/0!</v>
      </c>
      <c r="S219" s="28" t="e">
        <f t="shared" si="34"/>
        <v>#DIV/0!</v>
      </c>
      <c r="T219" s="27" t="s">
        <v>239</v>
      </c>
      <c r="W219" s="15"/>
    </row>
    <row r="220" spans="1:23" s="23" customFormat="1">
      <c r="A220" s="23" t="s">
        <v>223</v>
      </c>
      <c r="B220" s="23">
        <v>2022</v>
      </c>
      <c r="C220" s="25"/>
      <c r="D220" s="25"/>
      <c r="E220" s="17">
        <f t="shared" si="32"/>
        <v>0</v>
      </c>
      <c r="F220" s="25"/>
      <c r="G220" s="25"/>
      <c r="H220" s="18">
        <f t="shared" si="33"/>
        <v>0</v>
      </c>
      <c r="M220" s="15">
        <v>0</v>
      </c>
      <c r="N220" s="15">
        <f t="shared" si="31"/>
        <v>0</v>
      </c>
      <c r="P220" s="17">
        <f t="shared" si="29"/>
        <v>0</v>
      </c>
      <c r="R220" s="15" t="e">
        <f t="shared" si="30"/>
        <v>#DIV/0!</v>
      </c>
      <c r="S220" s="28" t="e">
        <f t="shared" si="34"/>
        <v>#DIV/0!</v>
      </c>
      <c r="T220" s="27" t="s">
        <v>239</v>
      </c>
      <c r="W220" s="15"/>
    </row>
    <row r="223" spans="1:23">
      <c r="G223" s="22"/>
    </row>
    <row r="224" spans="1:23">
      <c r="G224" s="21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BF4-6B92-0242-949C-6A83D2597A37}">
  <dimension ref="M9:P13"/>
  <sheetViews>
    <sheetView workbookViewId="0">
      <selection activeCell="M11" sqref="M11"/>
    </sheetView>
  </sheetViews>
  <sheetFormatPr baseColWidth="10" defaultRowHeight="16"/>
  <sheetData>
    <row r="9" spans="13:16">
      <c r="M9">
        <f>(325737/500)</f>
        <v>651.47400000000005</v>
      </c>
      <c r="P9">
        <f>53*(1+0.1)^(2024-2001)</f>
        <v>474.57802892527661</v>
      </c>
    </row>
    <row r="10" spans="13:16">
      <c r="M10">
        <f>M9^(1/(2024-2001))</f>
        <v>1.3253889688228415</v>
      </c>
      <c r="P10">
        <f>53*(1+0.2)^(2024-2001)</f>
        <v>3511.1107514830937</v>
      </c>
    </row>
    <row r="11" spans="13:16">
      <c r="M11" s="39">
        <f>M10-1</f>
        <v>0.32538896882284152</v>
      </c>
      <c r="P11">
        <f>53*(1+0.3)^(2024-2001)</f>
        <v>22129.569869108975</v>
      </c>
    </row>
    <row r="12" spans="13:16">
      <c r="P12">
        <f>53*(1+0.4)^(2024-2001)</f>
        <v>121680.41723009998</v>
      </c>
    </row>
    <row r="13" spans="13:16">
      <c r="P13">
        <f>53*(1+0.46)^(2024-2001)</f>
        <v>319441.65897782391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F75D-B811-3E4B-B432-0F6263628C34}">
  <dimension ref="A1:L210"/>
  <sheetViews>
    <sheetView topLeftCell="A184" zoomScaleNormal="100" workbookViewId="0">
      <selection activeCell="A194" sqref="A194"/>
    </sheetView>
  </sheetViews>
  <sheetFormatPr baseColWidth="10" defaultRowHeight="16"/>
  <cols>
    <col min="1" max="1" width="255.6640625" customWidth="1"/>
    <col min="2" max="2" width="63.5" bestFit="1" customWidth="1"/>
    <col min="3" max="3" width="24.1640625" customWidth="1"/>
  </cols>
  <sheetData>
    <row r="1" spans="1:12" ht="17">
      <c r="A1" s="38" t="s">
        <v>241</v>
      </c>
      <c r="B1" s="9"/>
      <c r="C1" s="4"/>
      <c r="D1" s="12"/>
      <c r="E1" s="12"/>
      <c r="F1" s="3"/>
      <c r="G1" s="12"/>
      <c r="H1" s="13"/>
      <c r="I1" s="9"/>
      <c r="J1" s="4"/>
      <c r="K1" s="4"/>
      <c r="L1" s="4"/>
    </row>
    <row r="2" spans="1:12" ht="17">
      <c r="A2" s="9" t="str">
        <f>CONCATENATE("(N","'",Sheet1!A2,"',",Sheet1!B2,",",Sheet1!C2,",",SQL!D2,Sheet1!D2,",",Sheet1!E2,",",Sheet1!F2,",",Sheet1!G2,",",Sheet1!H2,",",Sheet1!I2,",",Sheet1!J2,",",Sheet1!K2,",",Sheet1!M2,",",Sheet1!N2,",",Sheet1!O2,",",Sheet1!Q2,",",Sheet1!R2,",",Sheet1!S2,",N'",Sheet1!T2,"',","Null",",","Null",$B$2,"),")</f>
        <v>(N'ANTERO RESOURCES Corp',2013,6613581,3014921,3598660,1313134,971927,341207,-18930,-0.09,534707,-2673592,-2138885,2137383,63.15,-701.666666666667,-0.00286229200186707,N'NASDAQ',Null,Null ,CURRENT_TIMESTAMP, N'Mohan Hanumantha',CURRENT_TIMESTAMP, N'Mohan Hanumantha'),</v>
      </c>
      <c r="B2" s="9" t="s">
        <v>240</v>
      </c>
      <c r="C2" s="4"/>
      <c r="D2" s="12"/>
      <c r="E2" s="12"/>
      <c r="F2" s="3"/>
      <c r="G2" s="12"/>
      <c r="H2" s="13"/>
      <c r="I2" s="9"/>
      <c r="J2" s="4"/>
      <c r="K2" s="4"/>
      <c r="L2" s="4"/>
    </row>
    <row r="3" spans="1:12" ht="17">
      <c r="A3" s="9" t="str">
        <f>CONCATENATE("(N","'",Sheet1!A3,"',",Sheet1!B3,",",Sheet1!C3,",",SQL!D3,Sheet1!D3,",",Sheet1!E3,",",Sheet1!F3,",",Sheet1!G3,",",Sheet1!H3,",",Sheet1!I3,",",Sheet1!J3,",",Sheet1!K3,",",Sheet1!M3,",",Sheet1!N3,",",Sheet1!O3,",",Sheet1!Q3,",",Sheet1!R3,",",Sheet1!S3,",N'",Sheet1!T3,"',","Null",",","Null",$B$2,"),")</f>
        <v>(N'ANTERO RESOURCES Corp',2014,11573495,6099665,5473830,2720632,1420898,1299734,673587,2.57,998121,-4089650,-3091529,3320021,40.6,15.7976653696498,0.0582008287038617,N'NASDAQ',Null,Null ,CURRENT_TIMESTAMP, N'Mohan Hanumantha',CURRENT_TIMESTAMP, N'Mohan Hanumantha'),</v>
      </c>
      <c r="B3" s="9"/>
      <c r="C3" s="4"/>
      <c r="D3" s="12"/>
      <c r="E3" s="12"/>
      <c r="F3" s="3"/>
      <c r="G3" s="12"/>
      <c r="H3" s="13"/>
      <c r="I3" s="9"/>
      <c r="J3" s="4"/>
      <c r="K3" s="4"/>
      <c r="L3" s="4"/>
    </row>
    <row r="4" spans="1:12" ht="17">
      <c r="A4" s="9" t="str">
        <f>CONCATENATE("(N","'",Sheet1!A4,"',",Sheet1!B4,",",Sheet1!C4,",",SQL!D4,Sheet1!D4,",",Sheet1!E4,",",Sheet1!F4,",",Sheet1!G4,",",Sheet1!H4,",",Sheet1!I4,",",Sheet1!J4,",",Sheet1!K4,",",Sheet1!M4,",",Sheet1!N4,",",Sheet1!O4,",",Sheet1!Q4,",",Sheet1!R4,",",Sheet1!S4,",N'",Sheet1!T4,"',","Null",",","Null",$B$2,"),")</f>
        <v>(N'ANTERO RESOURCES Corp',2015,14155224,6868546,7286678,3954858,2164572,1790286,941364,3.43,1006381,-2298159,-1291778,1069272,21.75,6.34110787172012,0.0665029391269259,N'NASDAQ',Null,Null ,CURRENT_TIMESTAMP, N'Mohan Hanumantha',CURRENT_TIMESTAMP, N'Mohan Hanumantha'),</v>
      </c>
      <c r="B4" s="9"/>
      <c r="C4" s="4"/>
      <c r="D4" s="12"/>
      <c r="E4" s="12"/>
      <c r="F4" s="3"/>
      <c r="G4" s="12"/>
      <c r="H4" s="13"/>
      <c r="I4" s="9"/>
      <c r="J4" s="4"/>
      <c r="K4" s="4"/>
      <c r="L4" s="4"/>
    </row>
    <row r="5" spans="1:12" ht="17">
      <c r="A5" s="9" t="str">
        <f>CONCATENATE("(N","'",Sheet1!A5,"',",Sheet1!B5,",",Sheet1!C5,",",SQL!D5,Sheet1!D5,",",Sheet1!E5,",",Sheet1!F5,",",Sheet1!G5,",",Sheet1!H5,",",Sheet1!I5,",",Sheet1!J5,",",Sheet1!K5,",",Sheet1!M5,",",Sheet1!N5,",",Sheet1!O5,",",Sheet1!Q5,",",Sheet1!R5,",",Sheet1!S5,",N'",Sheet1!T5,"',","Null",",","Null",$B$2,"),")</f>
        <v>(N'ANTERO RESOURCES Corp',2016,14255550,6526972,7728578,1744525,2720326,-975801,-848816,-2.88,1241256,-2395138,-1153882,1162019,23.89,-8.29513888888889,-0.0595428447166191,N'NASDAQ',Null,Null ,CURRENT_TIMESTAMP, N'Mohan Hanumantha',CURRENT_TIMESTAMP, N'Mohan Hanumantha'),</v>
      </c>
      <c r="B5" s="9"/>
      <c r="C5" s="4"/>
      <c r="D5" s="12"/>
      <c r="E5" s="12"/>
      <c r="F5" s="3"/>
      <c r="G5" s="12"/>
      <c r="H5" s="13"/>
      <c r="I5" s="9"/>
      <c r="J5" s="4"/>
      <c r="K5" s="4"/>
      <c r="L5" s="4"/>
    </row>
    <row r="6" spans="1:12" ht="17">
      <c r="A6" s="9" t="str">
        <f>CONCATENATE("(N","'",Sheet1!A6,"',",Sheet1!B6,",",Sheet1!C6,",",SQL!D6,Sheet1!D6,",",Sheet1!E6,",",Sheet1!F6,",",Sheet1!G6,",",Sheet1!H6,",",Sheet1!I6,",",Sheet1!J6,",",Sheet1!K6,",",Sheet1!M6,",",Sheet1!N6,",",Sheet1!O6,",",Sheet1!Q6,",",Sheet1!R6,",",Sheet1!S6,",N'",Sheet1!T6,"',","Null",",","Null",$B$2,"),")</f>
        <v>(N'ANTERO RESOURCES Corp',2017,15261490,6385354,8876136,3655574,2915481,740093,615070,1.95,2006291,-2461630,-455339,452170,19.24,9.86666666666667,0.0403020937012048,N'NASDAQ',Null,Null ,CURRENT_TIMESTAMP, N'Mohan Hanumantha',CURRENT_TIMESTAMP, N'Mohan Hanumantha'),</v>
      </c>
      <c r="B6" s="9"/>
      <c r="C6" s="4"/>
      <c r="D6" s="12"/>
      <c r="E6" s="12"/>
      <c r="F6" s="3"/>
      <c r="G6" s="12"/>
      <c r="H6" s="13"/>
      <c r="I6" s="9"/>
      <c r="J6" s="4"/>
      <c r="K6" s="4"/>
      <c r="L6" s="4"/>
    </row>
    <row r="7" spans="1:12" ht="17">
      <c r="A7" s="9" t="str">
        <f>CONCATENATE("(N","'",Sheet1!A7,"',",Sheet1!B7,",",Sheet1!C7,",",SQL!D7,Sheet1!D7,",",Sheet1!E7,",",Sheet1!F7,",",Sheet1!G7,",",Sheet1!H7,",",Sheet1!I7,",",Sheet1!J7,",",Sheet1!K7,",",Sheet1!M7,",",Sheet1!N7,",",Sheet1!O7,",",Sheet1!Q7,",",Sheet1!R7,",",Sheet1!S7,",N'",Sheet1!T7,"',","Null",",","Null",$B$2,"),")</f>
        <v>(N'ANTERO RESOURCES Corp',2018,15519464,7031987,8487477,4139626,4067721,71905,-397517,-1.26,2081987,-2350724,-268737,240296,9.2,-7.3015873015873,-0.0256140933733278,N'NASDAQ',Null,Null ,CURRENT_TIMESTAMP, N'Mohan Hanumantha',CURRENT_TIMESTAMP, N'Mohan Hanumantha'),</v>
      </c>
      <c r="B7" s="9"/>
      <c r="C7" s="4"/>
      <c r="D7" s="12"/>
      <c r="E7" s="12"/>
      <c r="F7" s="3"/>
      <c r="G7" s="12"/>
      <c r="H7" s="13"/>
      <c r="I7" s="9"/>
      <c r="J7" s="4"/>
      <c r="K7" s="4"/>
      <c r="L7" s="4"/>
    </row>
    <row r="8" spans="1:12" ht="17">
      <c r="A8" s="9" t="str">
        <f>CONCATENATE("(N","'",Sheet1!A8,"',",Sheet1!B8,",",Sheet1!C8,",",SQL!D8,Sheet1!D8,",",Sheet1!E8,",",Sheet1!F8,",",Sheet1!G8,",",Sheet1!H8,",",Sheet1!I8,",",Sheet1!J8,",",Sheet1!K8,",",Sheet1!M8,",",Sheet1!N8,",",Sheet1!O8,",",Sheet1!Q8,",",Sheet1!R8,",",Sheet1!S8,",N'",Sheet1!T8,"',","Null",",","Null",$B$2,"),")</f>
        <v>(N'ANTERO RESOURCES Corp',2019,15197569,8226826,6970743,4408690,5395735,-987045,-340129,-1.11,1103458,-1041490,61968,557564,2.88,-2.59459459459459,-0.0223804873003044,N'NASDAQ',Null,Null ,CURRENT_TIMESTAMP, N'Mohan Hanumantha',CURRENT_TIMESTAMP, N'Mohan Hanumantha'),</v>
      </c>
      <c r="B8" s="9"/>
      <c r="C8" s="4"/>
      <c r="D8" s="12"/>
      <c r="E8" s="12"/>
      <c r="F8" s="3"/>
      <c r="G8" s="12"/>
      <c r="H8" s="13"/>
      <c r="I8" s="9"/>
      <c r="J8" s="4"/>
      <c r="K8" s="4"/>
      <c r="L8" s="4"/>
    </row>
    <row r="9" spans="1:12" ht="17">
      <c r="A9" s="9" t="str">
        <f>CONCATENATE("(N","'",Sheet1!A9,"',",Sheet1!B9,",",Sheet1!C9,",",SQL!D9,Sheet1!D9,",",Sheet1!E9,",",Sheet1!F9,",",Sheet1!G9,",",Sheet1!H9,",",Sheet1!I9,",",Sheet1!J9,",",Sheet1!K9,",",Sheet1!M9,",",Sheet1!N9,",",Sheet1!O9,",",Sheet1!Q9,",",Sheet1!R9,",",Sheet1!S9,",N'",Sheet1!T9,"',","Null",",","Null",$B$2,"),")</f>
        <v>(N'ANTERO RESOURCES Corp',2020,13150845,7060574,6090271,3491699,4445146,-953447,-1267897,-4.65,735640,-530061,205579,-205579,5.57,-1.19784946236559,-0.0964118275289535,N'NASDAQ',Null,Null ,CURRENT_TIMESTAMP, N'Mohan Hanumantha',CURRENT_TIMESTAMP, N'Mohan Hanumantha'),</v>
      </c>
      <c r="B9" s="9"/>
      <c r="C9" s="4"/>
      <c r="D9" s="12"/>
      <c r="E9" s="12"/>
      <c r="F9" s="3"/>
      <c r="G9" s="12"/>
      <c r="H9" s="13"/>
      <c r="I9" s="9"/>
      <c r="J9" s="4"/>
      <c r="K9" s="4"/>
      <c r="L9" s="4"/>
    </row>
    <row r="10" spans="1:12" ht="17">
      <c r="A10" s="9" t="str">
        <f>CONCATENATE("(N","'",Sheet1!A10,"',",Sheet1!B10,",",Sheet1!C10,",",SQL!D10,Sheet1!D10,",",Sheet1!E10,",",Sheet1!F10,",",Sheet1!G10,",",Sheet1!H10,",",Sheet1!I10,",",Sheet1!J10,",",Sheet1!K10,",",Sheet1!M10,",",Sheet1!N10,",",Sheet1!O10,",",Sheet1!Q10,",",Sheet1!R10,",",Sheet1!S10,",N'",Sheet1!T10,"',","Null",",","Null",$B$2,"),")</f>
        <v>(N'ANTERO RESOURCES Corp',2021,13896528,7830436,6066092,4619432,4595572,23860,-186899,-0.61,1660116,-710784,949332,-949332,17.33,-28.4098360655738,-0.0134493306529516,N'NASDAQ',Null,Null ,CURRENT_TIMESTAMP, N'Mohan Hanumantha',CURRENT_TIMESTAMP, N'Mohan Hanumantha'),</v>
      </c>
      <c r="B10" s="9"/>
      <c r="C10" s="4"/>
      <c r="D10" s="12"/>
      <c r="E10" s="12"/>
      <c r="F10" s="3"/>
      <c r="G10" s="12"/>
      <c r="H10" s="13"/>
      <c r="I10" s="9"/>
      <c r="J10" s="4"/>
      <c r="K10" s="4"/>
      <c r="L10" s="4"/>
    </row>
    <row r="11" spans="1:12" ht="17">
      <c r="A11" s="9" t="str">
        <f>CONCATENATE("(N","'",Sheet1!A11,"',",Sheet1!B11,",",Sheet1!C11,",",SQL!D11,Sheet1!D11,",",Sheet1!E11,",",Sheet1!F11,",",Sheet1!G11,",",Sheet1!H11,",",Sheet1!I11,",",Sheet1!J11,",",Sheet1!K11,",",Sheet1!M11,",",Sheet1!N11,",",Sheet1!O11,",",Sheet1!Q11,",",Sheet1!R11,",",Sheet1!S11,",N'",Sheet1!T11,"',","Null",",","Null",$B$2,"),")</f>
        <v>(N'ANTERO RESOURCES Corp',2022,14118039,7100885,7017154,7138436,4564531,2573905,1898771,6.18,3051342,-943612,2107730,-2107730,29.95,4.8462783171521,0.134492545317377,N'NASDAQ',Null,Null ,CURRENT_TIMESTAMP, N'Mohan Hanumantha',CURRENT_TIMESTAMP, N'Mohan Hanumantha'),</v>
      </c>
      <c r="B11" s="9"/>
      <c r="C11" s="4"/>
      <c r="D11" s="12"/>
      <c r="E11" s="12"/>
      <c r="F11" s="3"/>
      <c r="G11" s="12"/>
      <c r="H11" s="13"/>
      <c r="I11" s="9"/>
      <c r="J11" s="4"/>
      <c r="K11" s="4"/>
      <c r="L11" s="4"/>
    </row>
    <row r="12" spans="1:12">
      <c r="A12" s="9" t="str">
        <f>CONCATENATE("(N","'",Sheet1!A12,"',",Sheet1!B12,",",Sheet1!C12,",",SQL!D12,Sheet1!D12,",",Sheet1!E12,",",Sheet1!F12,",",Sheet1!G12,",",Sheet1!H12,",",Sheet1!I12,",",Sheet1!J12,",",Sheet1!K12,",",Sheet1!M12,",",Sheet1!N12,",",Sheet1!O12,",",Sheet1!Q12,",",Sheet1!R12,",",Sheet1!S12,",N'",Sheet1!T12,"',","Null",",","Null",$B$2,"),")</f>
        <v>(N'Callon Petroleum',2012,378173,172202,205971,110733,100043,10690,2747,0.07,51290,-93703,-42413,-243,62.9,898.571428571428,0.00726387129699899,N'NASDAQ',Null,Null ,CURRENT_TIMESTAMP, N'Mohan Hanumantha',CURRENT_TIMESTAMP, N'Mohan Hanumantha'),</v>
      </c>
    </row>
    <row r="13" spans="1:12">
      <c r="A13" s="9" t="str">
        <f>CONCATENATE("(N","'",Sheet1!A13,"',",Sheet1!B13,",",Sheet1!C13,",",SQL!D13,Sheet1!D13,",",Sheet1!E13,",",Sheet1!F13,",",Sheet1!G13,",",Sheet1!H13,",",Sheet1!I13,",",Sheet1!J13,",",Sheet1!K13,",",Sheet1!M13,",",Sheet1!N13,",",Sheet1!O13,",",Sheet1!Q13,",",Sheet1!R13,",",Sheet1!S13,",N'",Sheet1!T13,"',","Null",",","Null",$B$2,"),")</f>
        <v>(N'Callon Petroleum',2013,423953,144859,279094,102569,91905,10664,-323,-0.01,54329,-79804,-25475,27348,37,-3700,-0.000761876906166485,N'NASDAQ',Null,Null ,CURRENT_TIMESTAMP, N'Mohan Hanumantha',CURRENT_TIMESTAMP, N'Mohan Hanumantha'),</v>
      </c>
    </row>
    <row r="14" spans="1:12">
      <c r="A14" s="9" t="str">
        <f>CONCATENATE("(N","'",Sheet1!A14,"',",Sheet1!B14,",",Sheet1!C14,",",SQL!D14,Sheet1!D14,",",Sheet1!E14,",",Sheet1!F14,",",Sheet1!G14,",",Sheet1!H14,",",Sheet1!I14,",",Sheet1!J14,",",Sheet1!K14,",",Sheet1!M14,",",Sheet1!N14,",",Sheet1!O14,",",Sheet1!Q14,",",Sheet1!R14,",",Sheet1!S14,",N'",Sheet1!T14,"',","Null",",","Null",$B$2,"),")</f>
        <v>(N'Callon Petroleum',2014,876770,443035,433735,151862,113592,38270,29871,0.67,94387,-452501,-358114,356070,83.7,124.925373134328,0.0340693682493698,N'NASDAQ',Null,Null ,CURRENT_TIMESTAMP, N'Mohan Hanumantha',CURRENT_TIMESTAMP, N'Mohan Hanumantha'),</v>
      </c>
    </row>
    <row r="15" spans="1:12">
      <c r="A15" s="9" t="str">
        <f>CONCATENATE("(N","'",Sheet1!A15,"',",Sheet1!B15,",",Sheet1!C15,",",SQL!D15,Sheet1!D15,",",Sheet1!E15,",",Sheet1!F15,",",Sheet1!G15,",",Sheet1!H15,",",Sheet1!I15,",",Sheet1!J15,",",Sheet1!K15,",",Sheet1!M15,",",Sheet1!N15,",",Sheet1!O15,",",Sheet1!Q15,",",Sheet1!R15,",",Sheet1!S15,",N'",Sheet1!T15,"',","Null",",","Null",$B$2,"),")</f>
        <v>(N'Callon Petroleum',2015,788594,425836,362758,137512,346622,-209110,-240139,-3.77,86852,-259160,-172308,172564,74.7,-19.8143236074271,-0.304515378001862,N'NASDAQ',Null,Null ,CURRENT_TIMESTAMP, N'Mohan Hanumantha',CURRENT_TIMESTAMP, N'Mohan Hanumantha'),</v>
      </c>
    </row>
    <row r="16" spans="1:12">
      <c r="A16" s="9" t="str">
        <f>CONCATENATE("(N","'",Sheet1!A16,"',",Sheet1!B16,",",Sheet1!C16,",",SQL!D16,Sheet1!D16,",",Sheet1!E16,",",Sheet1!F16,",",Sheet1!G16,",",Sheet1!H16,",",Sheet1!I16,",",Sheet1!J16,",",Sheet1!K16,",",Sheet1!M16,",",Sheet1!N16,",",Sheet1!O16,",",Sheet1!Q16,",",Sheet1!R16,",",Sheet1!S16,",N'",Sheet1!T16,"',","Null",",","Null",$B$2,"),")</f>
        <v>(N'Callon Petroleum',2016,2267587,534185,1733402,200851,248328,-47477,-99108,-0.78,118567,-866287,-747720,1399489,88.5,-113.461538461538,-0.043706371574718,N'NASDAQ',Null,Null ,CURRENT_TIMESTAMP, N'Mohan Hanumantha',CURRENT_TIMESTAMP, N'Mohan Hanumantha'),</v>
      </c>
    </row>
    <row r="17" spans="1:1">
      <c r="A17" s="9" t="str">
        <f>CONCATENATE("(N","'",Sheet1!A17,"',",Sheet1!B17,",",Sheet1!C17,",",SQL!D17,Sheet1!D17,",",Sheet1!E17,",",Sheet1!F17,",",Sheet1!G17,",",Sheet1!H17,",",Sheet1!I17,",",Sheet1!J17,",",Sheet1!K17,",",Sheet1!M17,",",Sheet1!N17,",",Sheet1!O17,",",Sheet1!Q17,",",Sheet1!R17,",",Sheet1!S17,",N'",Sheet1!T17,"',","Null",",","Null",$B$2,"),")</f>
        <v>(N'Callon Petroleum',2017,2693296,837330,1855966,366474,225028,141446,120424,0.56,229891,-1072532,-842641,217643,131.6,235,0.0447125009653599,N'NASDAQ',Null,Null ,CURRENT_TIMESTAMP, N'Mohan Hanumantha',CURRENT_TIMESTAMP, N'Mohan Hanumantha'),</v>
      </c>
    </row>
    <row r="18" spans="1:1">
      <c r="A18" s="9" t="str">
        <f>CONCATENATE("(N","'",Sheet1!A18,"',",Sheet1!B18,",",Sheet1!C18,",",SQL!D18,Sheet1!D18,",",Sheet1!E18,",",Sheet1!F18,",",Sheet1!G18,",",Sheet1!H18,",",Sheet1!I18,",",Sheet1!J18,",",Sheet1!K18,",",Sheet1!M18,",",Sheet1!N18,",",Sheet1!O18,",",Sheet1!Q18,",",Sheet1!R18,",",Sheet1!S18,",N'",Sheet1!T18,"',","Null",",","Null",$B$2,"),")</f>
        <v>(N'Callon Petroleum',2018,3979173,1533965,2445208,587624,328094,259530,293065,1.35,467654,-1324057,-856403,844459,132.4,98.0740740740741,0.0736497257093371,N'NASDAQ',Null,Null ,CURRENT_TIMESTAMP, N'Mohan Hanumantha',CURRENT_TIMESTAMP, N'Mohan Hanumantha'),</v>
      </c>
    </row>
    <row r="19" spans="1:1">
      <c r="A19" s="9" t="str">
        <f>CONCATENATE("(N","'",Sheet1!A19,"',",Sheet1!B19,",",Sheet1!C19,",",SQL!D19,Sheet1!D19,",",Sheet1!E19,",",Sheet1!F19,",",Sheet1!G19,",",Sheet1!H19,",",Sheet1!I19,",",Sheet1!J19,",",Sheet1!K19,",",Sheet1!M19,",",Sheet1!N19,",",Sheet1!O19,",",Sheet1!Q19,",",Sheet1!R19,",",Sheet1!S19,",N'",Sheet1!T19,"',","Null",",","Null",$B$2,"),")</f>
        <v>(N'Callon Petroleum',2019,7194838,3971530,3223308,671572,498914,172658,55627,0.24,476316,-388389,87927,-90637,75.5,314.583333333333,0.00773151528915592,N'NASDAQ',Null,Null ,CURRENT_TIMESTAMP, N'Mohan Hanumantha',CURRENT_TIMESTAMP, N'Mohan Hanumantha'),</v>
      </c>
    </row>
    <row r="20" spans="1:1">
      <c r="A20" s="9" t="str">
        <f>CONCATENATE("(N","'",Sheet1!A20,"',",Sheet1!B20,",",Sheet1!C20,",",SQL!D20,Sheet1!D20,",",Sheet1!E20,",",Sheet1!F20,",",Sheet1!G20,",",Sheet1!H20,",",Sheet1!I20,",",Sheet1!J20,",",Sheet1!K20,",",Sheet1!M20,",",Sheet1!N20,",",Sheet1!O20,",",Sheet1!Q20,",",Sheet1!R20,",",Sheet1!S20,",N'",Sheet1!T20,"',","Null",",","Null",$B$2,"),")</f>
        <v>(N'Callon Petroleum',2020,4362868,3651866,711002,1033147,3489999,-2456852,-2533621,-63.79,559775,-529883,29892,22997,5.48,-0.0859068819564195,-0.58072373493766,N'NASDAQ',Null,Null ,CURRENT_TIMESTAMP, N'Mohan Hanumantha',CURRENT_TIMESTAMP, N'Mohan Hanumantha'),</v>
      </c>
    </row>
    <row r="21" spans="1:1">
      <c r="A21" s="9" t="str">
        <f>CONCATENATE("(N","'",Sheet1!A21,"',",Sheet1!B21,",",Sheet1!C21,",",SQL!D21,Sheet1!D21,",",Sheet1!E21,",",Sheet1!F21,",",Sheet1!G21,",",Sheet1!H21,",",Sheet1!I21,",",Sheet1!J21,",",Sheet1!K21,",",Sheet1!M21,",",Sheet1!N21,",",Sheet1!O21,",",Sheet1!Q21,",",Sheet1!R21,",",Sheet1!S21,",N'",Sheet1!T21,"',","Null",",","Null",$B$2,"),")</f>
        <v>(N'Callon Petroleum',2021,5547503,3681735,1865768,2045030,1034977,1010053,365151,7.51,974143,-876400,97743,108097,38.6,5.13981358189081,0.0658225872072534,N'NASDAQ',Null,Null ,CURRENT_TIMESTAMP, N'Mohan Hanumantha',CURRENT_TIMESTAMP, N'Mohan Hanumantha'),</v>
      </c>
    </row>
    <row r="22" spans="1:1">
      <c r="A22" s="9" t="str">
        <f>CONCATENATE("(N","'",Sheet1!A22,"',",Sheet1!B22,",",Sheet1!C22,",",SQL!D22,Sheet1!D22,",",Sheet1!E22,",",Sheet1!F22,",",Sheet1!G22,",",Sheet1!H22,",",Sheet1!I22,",",Sheet1!J22,",",Sheet1!K22,",",Sheet1!M22,",",Sheet1!N22,",",Sheet1!O22,",",Sheet1!Q22,",",Sheet1!R22,",",Sheet1!S22,",N'",Sheet1!T22,"',","Null",",","Null",$B$2,"),")</f>
        <v>(N'Callon Petroleum',2022,6146081,3060659,3085422,3230964,1550432,1680532,1209816,19.63,1501517,-999027,502490,-508977,59.08,3.0096790626592,0.196843484490361,N'NASDAQ',Null,Null ,CURRENT_TIMESTAMP, N'Mohan Hanumantha',CURRENT_TIMESTAMP, N'Mohan Hanumantha'),</v>
      </c>
    </row>
    <row r="23" spans="1:1">
      <c r="A23" s="9" t="str">
        <f>CONCATENATE("(N","'",Sheet1!A23,"',",Sheet1!B23,",",Sheet1!C23,",",SQL!D23,Sheet1!D23,",",Sheet1!E23,",",Sheet1!F23,",",Sheet1!G23,",",Sheet1!H23,",",Sheet1!I23,",",Sheet1!J23,",",Sheet1!K23,",",Sheet1!M23,",",Sheet1!N23,",",Sheet1!O23,",",Sheet1!Q23,",",Sheet1!R23,",",Sheet1!S23,",N'",Sheet1!T23,"',","Null",",","Null",$B$2,"),")</f>
        <v>(N'Chesapeake Energy',2012,41611000,23715000,17896000,12316000,14010000,-1694000,-940000,-1.46,2837000,-4984000,-2147000,2083000,0,0,-0.0763234816498863,N'NASDAQ',Null,Null ,CURRENT_TIMESTAMP, N'Mohan Hanumantha',CURRENT_TIMESTAMP, N'Mohan Hanumantha'),</v>
      </c>
    </row>
    <row r="24" spans="1:1">
      <c r="A24" s="9" t="str">
        <f>CONCATENATE("(N","'",Sheet1!A24,"',",Sheet1!B24,",",Sheet1!C24,",",SQL!D24,Sheet1!D24,",",Sheet1!E24,",",Sheet1!F24,",",Sheet1!G24,",",Sheet1!H24,",",Sheet1!I24,",",Sheet1!J24,",",Sheet1!K24,",",Sheet1!M24,",",Sheet1!N24,",",Sheet1!O24,",",Sheet1!Q24,",",Sheet1!R24,",",Sheet1!S24,",N'",Sheet1!T24,"',","Null",",","Null",$B$2,"),")</f>
        <v>(N'Chesapeake Energy',2013,41782000,23642000,18140000,17506000,15437000,2069000,474000,0.73,4614000,-2967000,1647000,-1097000,0,0,0.0113445981523144,N'NASDAQ',Null,Null ,CURRENT_TIMESTAMP, N'Mohan Hanumantha',CURRENT_TIMESTAMP, N'Mohan Hanumantha'),</v>
      </c>
    </row>
    <row r="25" spans="1:1">
      <c r="A25" s="9" t="str">
        <f>CONCATENATE("(N","'",Sheet1!A25,"',",Sheet1!B25,",",Sheet1!C25,",",SQL!D25,Sheet1!D25,",",Sheet1!E25,",",Sheet1!F25,",",Sheet1!G25,",",Sheet1!H25,",",Sheet1!I25,",",Sheet1!J25,",",Sheet1!K25,",",Sheet1!M25,",",Sheet1!N25,",",Sheet1!O25,",",Sheet1!Q25,",",Sheet1!R25,",",Sheet1!S25,",N'",Sheet1!T25,"',","Null",",","Null",$B$2,"),")</f>
        <v>(N'Chesapeake Energy',2014,40751000,22546000,18205000,20951000,17474000,3477000,1273000,1.93,4634000,-454000,4180000,-1817000,0,0,0.0312384972147923,N'NASDAQ',Null,Null ,CURRENT_TIMESTAMP, N'Mohan Hanumantha',CURRENT_TIMESTAMP, N'Mohan Hanumantha'),</v>
      </c>
    </row>
    <row r="26" spans="1:1">
      <c r="A26" s="9" t="str">
        <f>CONCATENATE("(N","'",Sheet1!A26,"',",Sheet1!B26,",",Sheet1!C26,",",SQL!D26,Sheet1!D26,",",Sheet1!E26,",",Sheet1!F26,",",Sheet1!G26,",",Sheet1!H26,",",Sheet1!I26,",",Sheet1!J26,",",Sheet1!K26,",",Sheet1!M26,",",Sheet1!N26,",",Sheet1!O26,",",Sheet1!Q26,",",Sheet1!R26,",",Sheet1!S26,",N'",Sheet1!T26,"',","Null",",","Null",$B$2,"),")</f>
        <v>(N'Chesapeake Energy',2015,17357000,14960000,2397000,12764000,31683000,-18919000,-14856000,-22.43,1234000,-3451000,-2217000,-1066000,0,0,-0.855908279080486,N'NASDAQ',Null,Null ,CURRENT_TIMESTAMP, N'Mohan Hanumantha',CURRENT_TIMESTAMP, N'Mohan Hanumantha'),</v>
      </c>
    </row>
    <row r="27" spans="1:1">
      <c r="A27" s="9" t="str">
        <f>CONCATENATE("(N","'",Sheet1!A27,"',",Sheet1!B27,",",Sheet1!C27,",",SQL!D27,Sheet1!D27,",",Sheet1!E27,",",Sheet1!F27,",",Sheet1!G27,",",Sheet1!H27,",",Sheet1!I27,",",Sheet1!J27,",",Sheet1!K27,",",Sheet1!M27,",",Sheet1!N27,",",Sheet1!O27,",",Sheet1!Q27,",",Sheet1!R27,",",Sheet1!S27,",N'",Sheet1!T27,"',","Null",",","Null",$B$2,"),")</f>
        <v>(N'Chesapeake Energy',2016,13028000,14231000,-1203000,7872000,12283000,-4411000,-4926000,-6.45,-204000,-660000,-864000,921000,0,0,-0.378108688977587,N'NASDAQ',Null,Null ,CURRENT_TIMESTAMP, N'Mohan Hanumantha',CURRENT_TIMESTAMP, N'Mohan Hanumantha'),</v>
      </c>
    </row>
    <row r="28" spans="1:1">
      <c r="A28" s="9" t="str">
        <f>CONCATENATE("(N","'",Sheet1!A28,"',",Sheet1!B28,",",Sheet1!C28,",",SQL!D28,Sheet1!D28,",",Sheet1!E28,",",Sheet1!F28,",",Sheet1!G28,",",Sheet1!H28,",",Sheet1!I28,",",Sheet1!J28,",",Sheet1!K28,",",Sheet1!M28,",",Sheet1!N28,",",Sheet1!O28,",",Sheet1!Q28,",",Sheet1!R28,",",Sheet1!S28,",N'",Sheet1!T28,"',","Null",",","Null",$B$2,"),")</f>
        <v>(N'Chesapeake Energy',2017,12425000,12797000,-372000,9496000,8357000,1139000,813000,0.9,745000,-1188000,-443000,-434000,0,0,0.0654325955734406,N'NASDAQ',Null,Null ,CURRENT_TIMESTAMP, N'Mohan Hanumantha',CURRENT_TIMESTAMP, N'Mohan Hanumantha'),</v>
      </c>
    </row>
    <row r="29" spans="1:1">
      <c r="A29" s="9" t="str">
        <f>CONCATENATE("(N","'",Sheet1!A29,"',",Sheet1!B29,",",Sheet1!C29,",",SQL!D29,Sheet1!D29,",",Sheet1!E29,",",Sheet1!F29,",",Sheet1!G29,",",Sheet1!H29,",",Sheet1!I29,",",Sheet1!J29,",",Sheet1!K29,",",Sheet1!M29,",",Sheet1!N29,",",Sheet1!O29,",",Sheet1!Q29,",",Sheet1!R29,",",Sheet1!S29,",N'",Sheet1!T29,"',","Null",",","Null",$B$2,"),")</f>
        <v>(N'Chesapeake Energy',2018,10947000,10480000,467000,10231000,9349000,882000,775000,0.85,2000000,-185000,1815000,-2186000,0,0,0.0707956517767425,N'NASDAQ',Null,Null ,CURRENT_TIMESTAMP, N'Mohan Hanumantha',CURRENT_TIMESTAMP, N'Mohan Hanumantha'),</v>
      </c>
    </row>
    <row r="30" spans="1:1">
      <c r="A30" s="9" t="str">
        <f>CONCATENATE("(N","'",Sheet1!A30,"',",Sheet1!B30,",",Sheet1!C30,",",SQL!D30,Sheet1!D30,",",Sheet1!E30,",",Sheet1!F30,",",Sheet1!G30,",",Sheet1!H30,",",Sheet1!I30,",",Sheet1!J30,",",Sheet1!K30,",",Sheet1!M30,",",Sheet1!N30,",",Sheet1!O30,",",Sheet1!Q30,",",Sheet1!R30,",",Sheet1!S30,",N'",Sheet1!T30,"',","Null",",","Null",$B$2,"),")</f>
        <v>(N'Chesapeake Energy',2019,16193000,11792000,4401000,8595000,8626000,-31000,-416000,-0.25,1623000,-2480000,-857000,859000,0,0,-0.0256901130117952,N'NASDAQ',Null,Null ,CURRENT_TIMESTAMP, N'Mohan Hanumantha',CURRENT_TIMESTAMP, N'Mohan Hanumantha'),</v>
      </c>
    </row>
    <row r="31" spans="1:1">
      <c r="A31" s="9" t="str">
        <f>CONCATENATE("(N","'",Sheet1!A31,"',",Sheet1!B31,",",Sheet1!C31,",",SQL!D31,Sheet1!D31,",",Sheet1!E31,",",Sheet1!F31,",",Sheet1!G31,",",Sheet1!H31,",",Sheet1!I31,",",Sheet1!J31,",",Sheet1!K31,",",Sheet1!M31,",",Sheet1!N31,",",Sheet1!O31,",",Sheet1!Q31,",",Sheet1!R31,",",Sheet1!S31,",N'",Sheet1!T31,"',","Null",",","Null",$B$2,"),")</f>
        <v>(N'Chesapeake Energy',2020,6584000,11925000,-5341000,5296000,13999000,-8703000,-9750000,-998.26,1164000,-992000,172000,101000,0,0,-1.48086269744836,N'NASDAQ',Null,Null ,CURRENT_TIMESTAMP, N'Mohan Hanumantha',CURRENT_TIMESTAMP, N'Mohan Hanumantha'),</v>
      </c>
    </row>
    <row r="32" spans="1:1">
      <c r="A32" s="9" t="str">
        <f>CONCATENATE("(N","'",Sheet1!A32,"',",Sheet1!B32,",",Sheet1!C32,",",SQL!D32,Sheet1!D32,",",Sheet1!E32,",",Sheet1!F32,",",Sheet1!G32,",",Sheet1!H32,",",Sheet1!I32,",",Sheet1!J32,",",Sheet1!K32,",",Sheet1!M32,",",Sheet1!N32,",",Sheet1!O32,",",Sheet1!Q32,",",Sheet1!R32,",",Sheet1!S32,",N'",Sheet1!T32,"',","Null",",","Null",$B$2,"),")</f>
        <v>(N'Chesapeake Energy',2021,11009000,5338000,5671000,5549000,4611000,938000,945000,9.29,1809000,-850000,959000,-171000,0,0,0.0858388591152693,N'NASDAQ',Null,Null ,CURRENT_TIMESTAMP, N'Mohan Hanumantha',CURRENT_TIMESTAMP, N'Mohan Hanumantha'),</v>
      </c>
    </row>
    <row r="33" spans="1:1">
      <c r="A33" s="9" t="str">
        <f>CONCATENATE("(N","'",Sheet1!A33,"',",Sheet1!B33,",",Sheet1!C33,",",SQL!D33,Sheet1!D33,",",Sheet1!E33,",",Sheet1!F33,",",Sheet1!G33,",",Sheet1!H33,",",Sheet1!I33,",",Sheet1!J33,",",Sheet1!K33,",",Sheet1!M33,",",Sheet1!N33,",",Sheet1!O33,",",Sheet1!Q33,",",Sheet1!R33,",",Sheet1!S33,",N'",Sheet1!T33,"',","Null",",","Null",$B$2,"),")</f>
        <v>(N'Chesapeake Energy',2022,15468000,6344000,9124000,11743000,7963000,3780000,4936000,38.71,4125000,-3401000,724000,-1446000,0,0,0.319110421515387,N'NASDAQ',Null,Null ,CURRENT_TIMESTAMP, N'Mohan Hanumantha',CURRENT_TIMESTAMP, N'Mohan Hanumantha'),</v>
      </c>
    </row>
    <row r="34" spans="1:1">
      <c r="A34" s="9" t="str">
        <f>CONCATENATE("(N","'",Sheet1!A34,"',",Sheet1!B34,",",Sheet1!C34,",",SQL!D34,Sheet1!D34,",",Sheet1!E34,",",Sheet1!F34,",",Sheet1!G34,",",Sheet1!H34,",",Sheet1!I34,",",Sheet1!J34,",",Sheet1!K34,",",Sheet1!M34,",",Sheet1!N34,",",Sheet1!O34,",",Sheet1!Q34,",",Sheet1!R34,",",Sheet1!S34,",N'",Sheet1!T34,"',","Null",",","Null",$B$2,"),")</f>
        <v>(N'Chord Energy',2022,6631081,1951283,4679798,3646794,2063005,1583789,1856159,60.86,1924026,-682562,1241464,-823096,146.3,2.40387775221821,0.279918010351555,N'NASDAQ',Null,Null ,CURRENT_TIMESTAMP, N'Mohan Hanumantha',CURRENT_TIMESTAMP, N'Mohan Hanumantha'),</v>
      </c>
    </row>
    <row r="35" spans="1:1">
      <c r="A35" s="9" t="str">
        <f>CONCATENATE("(N","'",Sheet1!A35,"',",Sheet1!B35,",",Sheet1!C35,",",SQL!D35,Sheet1!D35,",",Sheet1!E35,",",Sheet1!F35,",",Sheet1!G35,",",Sheet1!H35,",",Sheet1!I35,",",Sheet1!J35,",",Sheet1!K35,",",Sheet1!M35,",",Sheet1!N35,",",Sheet1!O35,",",Sheet1!Q35,",",Sheet1!R35,",",Sheet1!S35,",N'",Sheet1!T35,"',","Null",",","Null",$B$2,"),")</f>
        <v>(N'Civitas Resources',2021,6741033,2086035,4654998,930614,608551,322063,178921,4.82,274599,73547,348146,-118435,35.73,7.41286307053942,0.0265420744862101,N'NASDAQ',Null,Null ,CURRENT_TIMESTAMP, N'Mohan Hanumantha',CURRENT_TIMESTAMP, N'Mohan Hanumantha'),</v>
      </c>
    </row>
    <row r="36" spans="1:1">
      <c r="A36" s="9" t="str">
        <f>CONCATENATE("(N","'",Sheet1!A36,"',",Sheet1!B36,",",Sheet1!C36,",",SQL!D36,Sheet1!D36,",",Sheet1!E36,",",Sheet1!F36,",",Sheet1!G36,",",Sheet1!H36,",",Sheet1!I36,",",Sheet1!J36,",",Sheet1!K36,",",Sheet1!M36,",",Sheet1!N36,",",Sheet1!O36,",",Sheet1!Q36,",",Sheet1!R36,",",Sheet1!S36,",N'",Sheet1!T36,"',","Null",",","Null",$B$2,"),")</f>
        <v>(N'Civitas Resources',2022,7971399,1177927,6793472,3791398,1807358,1984040,1248080,14.68,2477041,-1306095,1170946,-657368,59.71,4.06743869209809,0.15656975645053,N'NASDAQ',Null,Null ,CURRENT_TIMESTAMP, N'Mohan Hanumantha',CURRENT_TIMESTAMP, N'Mohan Hanumantha'),</v>
      </c>
    </row>
    <row r="37" spans="1:1">
      <c r="A37" s="9" t="str">
        <f>CONCATENATE("(N","'",Sheet1!A37,"',",Sheet1!B37,",",Sheet1!C37,",",SQL!D37,Sheet1!D37,",",Sheet1!E37,",",Sheet1!F37,",",Sheet1!G37,",",Sheet1!H37,",",Sheet1!I37,",",Sheet1!J37,",",Sheet1!K37,",",Sheet1!M37,",",Sheet1!N37,",",Sheet1!O37,",",Sheet1!Q37,",",Sheet1!R37,",",Sheet1!S37,",N'",Sheet1!T37,"',","Null",",","Null",$B$2,"),")</f>
        <v>(N'ConocoPhillips',2012,117144000,68717000,48427000,62004000,46581000,15423000,8428000,6.77,13922000,-11627000,2295000,-4481,57.94,8.55834564254062,0.0719456395547361,N'NASDAQ',Null,Null ,CURRENT_TIMESTAMP, N'Mohan Hanumantha',CURRENT_TIMESTAMP, N'Mohan Hanumantha'),</v>
      </c>
    </row>
    <row r="38" spans="1:1">
      <c r="A38" s="9" t="str">
        <f>CONCATENATE("(N","'",Sheet1!A38,"',",Sheet1!B38,",",Sheet1!C38,",",SQL!D38,Sheet1!D38,",",Sheet1!E38,",",Sheet1!F38,",",Sheet1!G38,",",Sheet1!H38,",",Sheet1!I38,",",Sheet1!J38,",",Sheet1!K38,",",Sheet1!M38,",",Sheet1!N38,",",Sheet1!O38,",",Sheet1!Q38,",",Sheet1!R38,",",Sheet1!S38,",N'",Sheet1!T38,"',","Null",",","Null",$B$2,"),")</f>
        <v>(N'ConocoPhillips',2013,118057000,65565000,52492000,58248000,43802000,14446000,9156000,7.43,16087000,-6251000,9836000,-7133000,60.1,8.08882907133244,0.077555756964856,N'NASDAQ',Null,Null ,CURRENT_TIMESTAMP, N'Mohan Hanumantha',CURRENT_TIMESTAMP, N'Mohan Hanumantha'),</v>
      </c>
    </row>
    <row r="39" spans="1:1">
      <c r="A39" s="9" t="str">
        <f>CONCATENATE("(N","'",Sheet1!A39,"',",Sheet1!B39,",",Sheet1!C39,",",SQL!D39,Sheet1!D39,",",Sheet1!E39,",",Sheet1!F39,",",Sheet1!G39,",",Sheet1!H39,",",Sheet1!I39,",",Sheet1!J39,",",Sheet1!K39,",",Sheet1!M39,",",Sheet1!N39,",",Sheet1!O39,",",Sheet1!Q39,",",Sheet1!R39,",",Sheet1!S39,",N'",Sheet1!T39,"',","Null",",","Null",$B$2,"),")</f>
        <v>(N'ConocoPhillips',2014,116539000,64266000,52273000,55517000,46127000,9390000,-6869,5.54,16735000,-15131000,1604000,2574000,70.35,12.6985559566787,-0.0000589416418538,N'NASDAQ',Null,Null ,CURRENT_TIMESTAMP, N'Mohan Hanumantha',CURRENT_TIMESTAMP, N'Mohan Hanumantha'),</v>
      </c>
    </row>
    <row r="40" spans="1:1">
      <c r="A40" s="9" t="str">
        <f>CONCATENATE("(N","'",Sheet1!A40,"',",Sheet1!B40,",",Sheet1!C40,",",SQL!D40,Sheet1!D40,",",Sheet1!E40,",",Sheet1!F40,",",Sheet1!G40,",",Sheet1!H40,",",Sheet1!I40,",",Sheet1!J40,",",Sheet1!K40,",",Sheet1!M40,",",Sheet1!N40,",",Sheet1!O40,",",Sheet1!Q40,",",Sheet1!R40,",",Sheet1!S40,",N'",Sheet1!T40,"',","Null",",","Null",$B$2,"),")</f>
        <v>(N'ConocoPhillips',2015,97484000,57402000,40082000,30935000,38174000,-7239000,-4428000,-3.58,7572000,-8655000,-1083000,-1429000,62.26,-17.391061452514,-0.0454228386196709,N'NASDAQ',Null,Null ,CURRENT_TIMESTAMP, N'Mohan Hanumantha',CURRENT_TIMESTAMP, N'Mohan Hanumantha'),</v>
      </c>
    </row>
    <row r="41" spans="1:1">
      <c r="A41" s="9" t="str">
        <f>CONCATENATE("(N","'",Sheet1!A41,"',",Sheet1!B41,",",Sheet1!C41,",",SQL!D41,Sheet1!D41,",",Sheet1!E41,",",Sheet1!F41,",",Sheet1!G41,",",Sheet1!H41,",",Sheet1!I41,",",Sheet1!J41,",",Sheet1!K41,",",Sheet1!M41,",",Sheet1!N41,",",Sheet1!O41,",",Sheet1!Q41,",",Sheet1!R41,",",Sheet1!S41,",N'",Sheet1!T41,"',","Null",",","Null",$B$2,"),")</f>
        <v>(N'ConocoPhillips',2016,89772000,54546000,35226000,24360000,29890000,-5530000,-3615000,-2.91,4403000,-3859000,544000,764000,40.27,-13.8384879725086,-0.0402686806576661,N'NASDAQ',Null,Null ,CURRENT_TIMESTAMP, N'Mohan Hanumantha',CURRENT_TIMESTAMP, N'Mohan Hanumantha'),</v>
      </c>
    </row>
    <row r="42" spans="1:1">
      <c r="A42" s="9" t="str">
        <f>CONCATENATE("(N","'",Sheet1!A42,"',",Sheet1!B42,",",Sheet1!C42,",",SQL!D42,Sheet1!D42,",",Sheet1!E42,",",Sheet1!F42,",",Sheet1!G42,",",Sheet1!H42,",",Sheet1!I42,",",Sheet1!J42,",",Sheet1!K42,",",Sheet1!M42,",",Sheet1!N42,",",Sheet1!O42,",",Sheet1!Q42,",",Sheet1!R42,",",Sheet1!S42,",N'",Sheet1!T42,"',","Null",",","Null",$B$2,"),")</f>
        <v>(N'ConocoPhillips',2017,73362000,42561000,30801000,32584000,35199000,-2615000,-855000,-0.7,7077000,7762000,14839000,-12356000,49.87,-71.2428571428571,-0.0116545350453913,N'NASDAQ',Null,Null ,CURRENT_TIMESTAMP, N'Mohan Hanumantha',CURRENT_TIMESTAMP, N'Mohan Hanumantha'),</v>
      </c>
    </row>
    <row r="43" spans="1:1">
      <c r="A43" s="9" t="str">
        <f>CONCATENATE("(N","'",Sheet1!A43,"',",Sheet1!B43,",",Sheet1!C43,",",SQL!D43,Sheet1!D43,",",Sheet1!E43,",",Sheet1!F43,",",Sheet1!G43,",",Sheet1!H43,",",Sheet1!I43,",",Sheet1!J43,",",Sheet1!K43,",",Sheet1!M43,",",Sheet1!N43,",",Sheet1!O43,",",Sheet1!Q43,",",Sheet1!R43,",",Sheet1!S43,",N'",Sheet1!T43,"',","Null",",","Null",$B$2,"),")</f>
        <v>(N'ConocoPhillips',2018,69980000,37916000,32064000,38727000,28754000,9973000,6305000,5.36,12934000,-3843000,9091000,-9359000,59.29,11.0615671641791,0.0900971706201772,N'NASDAQ',Null,Null ,CURRENT_TIMESTAMP, N'Mohan Hanumantha',CURRENT_TIMESTAMP, N'Mohan Hanumantha'),</v>
      </c>
    </row>
    <row r="44" spans="1:1">
      <c r="A44" s="9" t="str">
        <f>CONCATENATE("(N","'",Sheet1!A44,"',",Sheet1!B44,",",Sheet1!C44,",",SQL!D44,Sheet1!D44,",",Sheet1!E44,",",Sheet1!F44,",",Sheet1!G44,",",Sheet1!H44,",",Sheet1!I44,",",Sheet1!J44,",",Sheet1!K44,",",Sheet1!M44,",",Sheet1!N44,",",Sheet1!O44,",",Sheet1!Q44,",",Sheet1!R44,",",Sheet1!S44,",N'",Sheet1!T44,"',","Null",",","Null",$B$2,"),")</f>
        <v>(N'ConocoPhillips',2019,70514000,35464000,35050000,36670000,27146000,9524000,7189000,6.43,11104000,-6618000,4486000,-5229000,66.74,10.3794712286159,0.196045814016908,N'NASDAQ',Null,Null ,CURRENT_TIMESTAMP, N'Mohan Hanumantha',CURRENT_TIMESTAMP, N'Mohan Hanumantha'),</v>
      </c>
    </row>
    <row r="45" spans="1:1">
      <c r="A45" s="9" t="str">
        <f>CONCATENATE("(N","'",Sheet1!A45,"',",Sheet1!B45,",",Sheet1!C45,",",SQL!D45,Sheet1!D45,",",Sheet1!E45,",",Sheet1!F45,",",Sheet1!G45,",",Sheet1!H45,",",Sheet1!I45,",",Sheet1!J45,",",Sheet1!K45,",",Sheet1!M45,",",Sheet1!N45,",",Sheet1!O45,",",Sheet1!Q45,",",Sheet1!R45,",",Sheet1!S45,",N'",Sheet1!T45,"',","Null",",","Null",$B$2,"),")</f>
        <v>(N'ConocoPhillips',2020,22396000,32769000,-10373000,19256000,22396000,-3140000,-2701000,-2.51,4802000,-4121000,681000,-2708000,30.8,-12.2709163346614,-0.140267968425426,N'NASDAQ',Null,Null ,CURRENT_TIMESTAMP, N'Mohan Hanumantha',CURRENT_TIMESTAMP, N'Mohan Hanumantha'),</v>
      </c>
    </row>
    <row r="46" spans="1:1">
      <c r="A46" s="9" t="str">
        <f>CONCATENATE("(N","'",Sheet1!A46,"',",Sheet1!B46,",",Sheet1!C46,",",SQL!D46,Sheet1!D46,",",Sheet1!E46,",",Sheet1!F46,",",Sheet1!G46,",",Sheet1!H46,",",Sheet1!I46,",",Sheet1!J46,",",Sheet1!K46,",",Sheet1!M46,",",Sheet1!N46,",",Sheet1!O46,",",Sheet1!Q46,",",Sheet1!R46,",",Sheet1!S46,",N'",Sheet1!T46,"',","Null",",","Null",$B$2,"),")</f>
        <v>(N'ConocoPhillips',2021,90661000,45255000,45406000,48349000,35637000,12712000,8079000,6.09,16996000,-8544000,8452000,-6335000,52.97,8.69786535303777,0.0891121871587562,N'NASDAQ',Null,Null ,CURRENT_TIMESTAMP, N'Mohan Hanumantha',CURRENT_TIMESTAMP, N'Mohan Hanumantha'),</v>
      </c>
    </row>
    <row r="47" spans="1:1">
      <c r="A47" s="9" t="str">
        <f>CONCATENATE("(N","'",Sheet1!A47,"',",Sheet1!B47,",",Sheet1!C47,",",SQL!D47,Sheet1!D47,",",Sheet1!E47,",",Sheet1!F47,",",Sheet1!G47,",",Sheet1!H47,",",Sheet1!I47,",",Sheet1!J47,",",Sheet1!K47,",",Sheet1!M47,",",Sheet1!N47,",",Sheet1!O47,",",Sheet1!Q47,",",Sheet1!R47,",",Sheet1!S47,",N'",Sheet1!T47,"',","Null",",","Null",$B$2,"),")</f>
        <v>(N'ConocoPhillips',2022,93829000,45826000,48003000,82156000,53928000,28228000,18680000,14.62,28314000,-8741000,19573000,-18053000,100,6.83994528043776,0.199085570559209,N'NASDAQ',Null,Null ,CURRENT_TIMESTAMP, N'Mohan Hanumantha',CURRENT_TIMESTAMP, N'Mohan Hanumantha'),</v>
      </c>
    </row>
    <row r="48" spans="1:1">
      <c r="A48" s="9" t="str">
        <f>CONCATENATE("(N","'",Sheet1!A48,"',",Sheet1!B48,",",Sheet1!C48,",",SQL!D48,Sheet1!D48,",",Sheet1!E48,",",Sheet1!F48,",",Sheet1!G48,",",Sheet1!H48,",",Sheet1!I48,",",Sheet1!J48,",",Sheet1!K48,",",Sheet1!M48,",",Sheet1!N48,",",Sheet1!O48,",",Sheet1!Q48,",",Sheet1!R48,",",Sheet1!S48,",N'",Sheet1!T48,"',","Null",",","Null",$B$2,"),")</f>
        <v>(N'Coterra Energy Inc.',2021,19900000,8112000,11788000,3449000,1883000,1566000,1158000,2.3,1667000,313000,1980000,-1086000,18.78,8.16521739130435,0.0581909547738693,N'NASDAQ',Null,Null ,CURRENT_TIMESTAMP, N'Mohan Hanumantha',CURRENT_TIMESTAMP, N'Mohan Hanumantha'),</v>
      </c>
    </row>
    <row r="49" spans="1:1">
      <c r="A49" s="9" t="str">
        <f>CONCATENATE("(N","'",Sheet1!A49,"',",Sheet1!B49,",",Sheet1!C49,",",SQL!D49,Sheet1!D49,",",Sheet1!E49,",",Sheet1!F49,",",Sheet1!G49,",",Sheet1!H49,",",Sheet1!I49,",",Sheet1!J49,",",Sheet1!K49,",",Sheet1!M49,",",Sheet1!N49,",",Sheet1!O49,",",Sheet1!Q49,",",Sheet1!R49,",",Sheet1!S49,",N'",Sheet1!T49,"',","Null",",","Null",$B$2,"),")</f>
        <v>(N'Coterra Energy Inc.',2022,20154000,7484000,12670000,9051000,5209000,3842000,4065000,5.09,5456000,-1674000,3782000,-4145000,26.97,5.29862475442043,0.201696933611194,N'NASDAQ',Null,Null ,CURRENT_TIMESTAMP, N'Mohan Hanumantha',CURRENT_TIMESTAMP, N'Mohan Hanumantha'),</v>
      </c>
    </row>
    <row r="50" spans="1:1">
      <c r="A50" s="9" t="str">
        <f>CONCATENATE("(N","'",Sheet1!A50,"',",Sheet1!B50,",",Sheet1!C50,",",SQL!D50,Sheet1!D50,",",Sheet1!E50,",",Sheet1!F50,",",Sheet1!G50,",",Sheet1!H50,",",Sheet1!I50,",",Sheet1!J50,",",Sheet1!K50,",",Sheet1!M50,",",Sheet1!N50,",",Sheet1!O50,",",Sheet1!Q50,",",Sheet1!R50,",",Sheet1!S50,",N'",Sheet1!T50,"',","Null",",","Null",$B$2,"),")</f>
        <v>(N'Crescent Energy Co',2017,16005000,6842000,9163000,2796000,2819000,-23000,-124000,-0.23,1718000,-1960000,-242000,291200,10.78,-46.8695652173913,-0.0077475788815995,N'NASDAQ',Null,Null ,CURRENT_TIMESTAMP, N'Mohan Hanumantha',CURRENT_TIMESTAMP, N'Mohan Hanumantha'),</v>
      </c>
    </row>
    <row r="51" spans="1:1">
      <c r="A51" s="9" t="str">
        <f>CONCATENATE("(N","'",Sheet1!A51,"',",Sheet1!B51,",",Sheet1!C51,",",SQL!D51,Sheet1!D51,",",Sheet1!E51,",",Sheet1!F51,",",Sheet1!G51,",",Sheet1!H51,",",Sheet1!I51,",",Sheet1!J51,",",Sheet1!K51,",",Sheet1!M51,",",Sheet1!N51,",",Sheet1!O51,",",Sheet1!Q51,",",Sheet1!R51,",",Sheet1!S51,",N'",Sheet1!T51,"',","Null",",","Null",$B$2,"),")</f>
        <v>(N'Crescent Energy Co',2018,12730000,6117000,6613000,3356000,6912000,-3556000,-2377000,-4.77,1748000,-1509000,239000,-287900,6.78,-1.42138364779874,-0.186724273369992,N'NASDAQ',Null,Null ,CURRENT_TIMESTAMP, N'Mohan Hanumantha',CURRENT_TIMESTAMP, N'Mohan Hanumantha'),</v>
      </c>
    </row>
    <row r="52" spans="1:1">
      <c r="A52" s="9" t="str">
        <f>CONCATENATE("(N","'",Sheet1!A52,"',",Sheet1!B52,",",Sheet1!C52,",",SQL!D52,Sheet1!D52,",",Sheet1!E52,",",Sheet1!F52,",",Sheet1!G52,",",Sheet1!H52,",",Sheet1!I52,",",Sheet1!J52,",",Sheet1!K52,",",Sheet1!M52,",",Sheet1!N52,",",Sheet1!O52,",",Sheet1!Q52,",",Sheet1!R52,",",Sheet1!S52,",N'",Sheet1!T52,"',","Null",",","Null",$B$2,"),")</f>
        <v>(N'Crescent Energy Co',2019,10091800,4749100,5342700,2656200,3848500,-1192300,-1129500,-1.89,1742900,-345000,1397900,-1355700,3.23,-1.70899470899471,-0.111922550981985,N'NASDAQ',Null,Null ,CURRENT_TIMESTAMP, N'Mohan Hanumantha',CURRENT_TIMESTAMP, N'Mohan Hanumantha'),</v>
      </c>
    </row>
    <row r="53" spans="1:1">
      <c r="A53" s="9" t="str">
        <f>CONCATENATE("(N","'",Sheet1!A53,"',",Sheet1!B53,",",Sheet1!C53,",",SQL!D53,Sheet1!D53,",",Sheet1!E53,",",Sheet1!F53,",",Sheet1!G53,",",Sheet1!H53,",",Sheet1!I53,",",Sheet1!J53,",",Sheet1!K53,",",Sheet1!M53,",",Sheet1!N53,",",Sheet1!O53,",",Sheet1!Q53,",",Sheet1!R53,",",Sheet1!S53,",N'",Sheet1!T53,"',","Null",",","Null",$B$2,"),")</f>
        <v>(N'Crescent Energy Co',2020,6645900,3823100,2822800,2003600,5151100,-3147500,-2497.7,-4.76,860500,-269000,591500,639500,0.77,-0.161764705882353,-0.000375825697046299,N'NASDAQ',Null,Null ,CURRENT_TIMESTAMP, N'Mohan Hanumantha',CURRENT_TIMESTAMP, N'Mohan Hanumantha'),</v>
      </c>
    </row>
    <row r="54" spans="1:1">
      <c r="A54" s="9" t="str">
        <f>CONCATENATE("(N","'",Sheet1!A54,"',",Sheet1!B54,",",Sheet1!C54,",",SQL!D54,Sheet1!D54,",",Sheet1!E54,",",Sheet1!F54,",",Sheet1!G54,",",Sheet1!H54,",",Sheet1!I54,",",Sheet1!J54,",",Sheet1!K54,",",Sheet1!M54,",",Sheet1!N54,",",Sheet1!O54,",",Sheet1!Q54,",",Sheet1!R54,",",Sheet1!S54,",N'",Sheet1!T54,"',","Null",",","Null",$B$2,"),")</f>
        <v>(N'Crescent Energy Co',2021,9171200,3765900,5405300,2439900,-723900,3163800,2376000,4.15,1495800,-1193400,302400,297200,4.16,1.00240963855422,0.25907187718074,N'NASDAQ',Null,Null ,CURRENT_TIMESTAMP, N'Mohan Hanumantha',CURRENT_TIMESTAMP, N'Mohan Hanumantha'),</v>
      </c>
    </row>
    <row r="55" spans="1:1">
      <c r="A55" s="9" t="str">
        <f>CONCATENATE("(N","'",Sheet1!A55,"',",Sheet1!B55,",",Sheet1!C55,",",SQL!D55,Sheet1!D55,",",Sheet1!E55,",",Sheet1!F55,",",Sheet1!G55,",",Sheet1!H55,",",Sheet1!I55,",",Sheet1!J55,",",Sheet1!K55,",",Sheet1!M55,",",Sheet1!N55,",",Sheet1!O55,",",Sheet1!Q55,",",Sheet1!R55,",",Sheet1!S55,",N'",Sheet1!T55,"',","Null",",","Null",$B$2,"),")</f>
        <v>(N'Crescent Energy Co',2022,9486400,2993000,6493400,3578400,1707100,1871300,1574100,2.62,2192200,-860600,1331600,-1056000,7.23,2.75954198473282,0.165932282003711,N'NASDAQ',Null,Null ,CURRENT_TIMESTAMP, N'Mohan Hanumantha',CURRENT_TIMESTAMP, N'Mohan Hanumantha'),</v>
      </c>
    </row>
    <row r="56" spans="1:1">
      <c r="A56" s="9" t="str">
        <f>CONCATENATE("(N","'",Sheet1!A56,"',",Sheet1!B56,",",Sheet1!C56,",",SQL!D56,Sheet1!D56,",",Sheet1!E56,",",Sheet1!F56,",",Sheet1!G56,",",Sheet1!H56,",",Sheet1!I56,",",Sheet1!J56,",",Sheet1!K56,",",Sheet1!M56,",",Sheet1!N56,",",Sheet1!O56,",",Sheet1!Q56,",",Sheet1!R56,",",Sheet1!S56,",N'",Sheet1!T56,"',","Null",",","Null",$B$2,"),")</f>
        <v>(N'Crescent Energy Co',2016,16163600,842500,15321100,1939900,3253700,-1313800,-992000,-1.81,1524300,-1360400,163900,-175600,13.79,-7.61878453038674,-0.0613724665297335,N'NASDAQ',Null,Null ,CURRENT_TIMESTAMP, N'Mohan Hanumantha',CURRENT_TIMESTAMP, N'Mohan Hanumantha'),</v>
      </c>
    </row>
    <row r="57" spans="1:1">
      <c r="A57" s="9" t="str">
        <f>CONCATENATE("(N","'",Sheet1!A57,"',",Sheet1!B57,",",Sheet1!C57,",",SQL!D57,Sheet1!D57,",",Sheet1!E57,",",Sheet1!F57,",",Sheet1!G57,",",Sheet1!H57,",",Sheet1!I57,",",Sheet1!J57,",",Sheet1!K57,",",Sheet1!M57,",",Sheet1!N57,",",Sheet1!O57,",",Sheet1!Q57,",",Sheet1!R57,",",Sheet1!S57,",N'",Sheet1!T57,"',","Null",",","Null",$B$2,"),")</f>
        <v>(N'Devon Energy Corporation',2017,30241000,16137000,14104000,13949000,13053000,896000,1010000,1.71,2909000,-2210000,699000,9000,41.72,24.3976608187135,0.0333983664561357,N'NASDAQ',Null,Null ,CURRENT_TIMESTAMP, N'Mohan Hanumantha',CURRENT_TIMESTAMP, N'Mohan Hanumantha'),</v>
      </c>
    </row>
    <row r="58" spans="1:1">
      <c r="A58" s="9" t="str">
        <f>CONCATENATE("(N","'",Sheet1!A58,"',",Sheet1!B58,",",Sheet1!C58,",",SQL!D58,Sheet1!D58,",",Sheet1!E58,",",Sheet1!F58,",",Sheet1!G58,",",Sheet1!H58,",",Sheet1!I58,",",Sheet1!J58,",",Sheet1!K58,",",Sheet1!M58,",",Sheet1!N58,",",Sheet1!O58,",",Sheet1!Q58,",",Sheet1!R58,",",Sheet1!S58,",N'",Sheet1!T58,"',","Null",",","Null",$B$2,"),")</f>
        <v>(N'Devon Energy Corporation',2018,19566000,10380000,9186000,10734000,9814000,920000,3064000,1.53,2228000,-1493000,735000,-4386000,31.79,20.7777777777778,0.156598180517224,N'NASDAQ',Null,Null ,CURRENT_TIMESTAMP, N'Mohan Hanumantha',CURRENT_TIMESTAMP, N'Mohan Hanumantha'),</v>
      </c>
    </row>
    <row r="59" spans="1:1">
      <c r="A59" s="9" t="str">
        <f>CONCATENATE("(N","'",Sheet1!A59,"',",Sheet1!B59,",",Sheet1!C59,",",SQL!D59,Sheet1!D59,",",Sheet1!E59,",",Sheet1!F59,",",Sheet1!G59,",",Sheet1!H59,",",Sheet1!I59,",",Sheet1!J59,",",Sheet1!K59,",",Sheet1!M59,",",Sheet1!N59,",",Sheet1!O59,",",Sheet1!Q59,",",Sheet1!R59,",",Sheet1!S59,",N'",Sheet1!T59,"',","Null",",","Null",$B$2,"),")</f>
        <v>(N'Devon Energy Corporation',2019,13717000,7915000,5802000,6220000,6329000,-109000,-353000,0.89,2043000,-1551000,492000,-2061000,31.556,35.4561797752809,-0.0257344900488445,N'NASDAQ',Null,Null ,CURRENT_TIMESTAMP, N'Mohan Hanumantha',CURRENT_TIMESTAMP, N'Mohan Hanumantha'),</v>
      </c>
    </row>
    <row r="60" spans="1:1">
      <c r="A60" s="9" t="str">
        <f>CONCATENATE("(N","'",Sheet1!A60,"',",Sheet1!B60,",",Sheet1!C60,",",SQL!D60,Sheet1!D60,",",Sheet1!E60,",",Sheet1!F60,",",Sheet1!G60,",",Sheet1!H60,",",Sheet1!I60,",",Sheet1!J60,",",Sheet1!K60,",",Sheet1!M60,",",Sheet1!N60,",",Sheet1!O60,",",Sheet1!Q60,",",Sheet1!R60,",",Sheet1!S60,",N'",Sheet1!T60,"',","Null",",","Null",$B$2,"),")</f>
        <v>(N'Devon Energy Corporation',2020,9912000,6893000,3019000,4828000,7918000,-3090000,-2680000,-7.12,1464000,-1127000,337000,-306000,6.91,-0.970505617977528,-0.270379338175948,N'NASDAQ',Null,Null ,CURRENT_TIMESTAMP, N'Mohan Hanumantha',CURRENT_TIMESTAMP, N'Mohan Hanumantha'),</v>
      </c>
    </row>
    <row r="61" spans="1:1">
      <c r="A61" s="9" t="str">
        <f>CONCATENATE("(N","'",Sheet1!A61,"',",Sheet1!B61,",",Sheet1!C61,",",SQL!D61,Sheet1!D61,",",Sheet1!E61,",",Sheet1!F61,",",Sheet1!G61,",",Sheet1!H61,",",Sheet1!I61,",",Sheet1!J61,",",Sheet1!K61,",",Sheet1!M61,",",Sheet1!N61,",",Sheet1!O61,",",Sheet1!Q61,",",Sheet1!R61,",",Sheet1!S61,",N'",Sheet1!T61,"',","Null",",","Null",$B$2,"),")</f>
        <v>(N'Devon Energy Corporation',2021,21025000,11626000,9399000,12206000,9308000,2898000,2813000,4.2,4899000,-1574000,3325000,-3292000,21.85,5.20238095238095,0.133793103448276,N'NASDAQ',Null,Null ,CURRENT_TIMESTAMP, N'Mohan Hanumantha',CURRENT_TIMESTAMP, N'Mohan Hanumantha'),</v>
      </c>
    </row>
    <row r="62" spans="1:1">
      <c r="A62" s="9" t="str">
        <f>CONCATENATE("(N","'",Sheet1!A62,"',",Sheet1!B62,",",Sheet1!C62,",",SQL!D62,Sheet1!D62,",",Sheet1!E62,",",Sheet1!F62,",",Sheet1!G62,",",Sheet1!H62,",",Sheet1!I62,",",Sheet1!J62,",",Sheet1!K62,",",Sheet1!M62,",",Sheet1!N62,",",Sheet1!O62,",",Sheet1!Q62,",",Sheet1!R62,",",Sheet1!S62,",N'",Sheet1!T62,"',","Null",",","Null",$B$2,"),")</f>
        <v>(N'Devon Energy Corporation',2022,23721000,12425000,11296000,19169000,11394000,7775000,6015000,9.15,8530000,-5123000,3407000,-4213000,59.13,6.46229508196721,0.25357278360946,N'NASDAQ',Null,Null ,CURRENT_TIMESTAMP, N'Mohan Hanumantha',CURRENT_TIMESTAMP, N'Mohan Hanumantha'),</v>
      </c>
    </row>
    <row r="63" spans="1:1">
      <c r="A63" s="9" t="str">
        <f>CONCATENATE("(N","'",Sheet1!A63,"',",Sheet1!B63,",",Sheet1!C63,",",SQL!D63,Sheet1!D63,",",Sheet1!E63,",",Sheet1!F63,",",Sheet1!G63,",",Sheet1!H63,",",Sheet1!I63,",",Sheet1!J63,",",Sheet1!K63,",",Sheet1!M63,",",Sheet1!N63,",",Sheet1!O63,",",Sheet1!Q63,",",Sheet1!R63,",",Sheet1!S63,",N'",Sheet1!T63,"',","Null",",","Null",$B$2,"),")</f>
        <v>(N'Diamondback Energy, Inc.',2020,17619000,1236000,16383000,2813000,8289000,-5476000,-4672000,-28.59,2118000,-2101000,17000,-37000,26.2,-0.916404337180832,-0.265168284238606,N'NASDAQ',Null,Null ,CURRENT_TIMESTAMP, N'Mohan Hanumantha',CURRENT_TIMESTAMP, N'Mohan Hanumantha'),</v>
      </c>
    </row>
    <row r="64" spans="1:1">
      <c r="A64" s="9" t="str">
        <f>CONCATENATE("(N","'",Sheet1!A64,"',",Sheet1!B64,",",Sheet1!C64,",",SQL!D64,Sheet1!D64,",",Sheet1!E64,",",Sheet1!F64,",",Sheet1!G64,",",Sheet1!H64,",",Sheet1!I64,",",Sheet1!J64,",",Sheet1!K64,",",Sheet1!M64,",",Sheet1!N64,",",Sheet1!O64,",",Sheet1!Q64,",",Sheet1!R64,",",Sheet1!S64,",N'",Sheet1!T64,"',","Null",",","Null",$B$2,"),")</f>
        <v>(N'Diamondback Energy, Inc.',2021,22898000,9653000,13245000,6797000,2796000,4001000,2276000,12.35,3944000,-1539000,2405000,-1841000,73.49,5.95060728744939,0.0993973272774915,N'NASDAQ',Null,Null ,CURRENT_TIMESTAMP, N'Mohan Hanumantha',CURRENT_TIMESTAMP, N'Mohan Hanumantha'),</v>
      </c>
    </row>
    <row r="65" spans="1:1">
      <c r="A65" s="9" t="str">
        <f>CONCATENATE("(N","'",Sheet1!A65,"',",Sheet1!B65,",",Sheet1!C65,",",SQL!D65,Sheet1!D65,",",Sheet1!E65,",",Sheet1!F65,",",Sheet1!G65,",",Sheet1!H65,",",Sheet1!I65,",",Sheet1!J65,",",Sheet1!K65,",",Sheet1!M65,",",Sheet1!N65,",",Sheet1!O65,",",Sheet1!Q65,",",Sheet1!R65,",",Sheet1!S65,",N'",Sheet1!T65,"',","Null",",","Null",$B$2,"),")</f>
        <v>(N'Diamondback Energy, Inc.',2022,26209000,10519000,15690000,9643000,3135000,6508000,4562000,24.61,6325000,-3330000,2995000,-3503,137.08,5.57009345794393,0.174062344995994,N'NASDAQ',Null,Null ,CURRENT_TIMESTAMP, N'Mohan Hanumantha',CURRENT_TIMESTAMP, N'Mohan Hanumantha'),</v>
      </c>
    </row>
    <row r="66" spans="1:1">
      <c r="A66" s="9" t="str">
        <f>CONCATENATE("(N","'",Sheet1!A66,"',",Sheet1!B66,",",Sheet1!C66,",",SQL!D66,Sheet1!D66,",",Sheet1!E66,",",Sheet1!F66,",",Sheet1!G66,",",Sheet1!H66,",",Sheet1!I66,",",Sheet1!J66,",",Sheet1!K66,",",Sheet1!M66,",",Sheet1!N66,",",Sheet1!O66,",",Sheet1!Q66,",",Sheet1!R66,",",Sheet1!S66,",N'",Sheet1!T66,"',","Null",",","Null",$B$2,"),")</f>
        <v>(N'Diversified Energy',2015,46487,55304,-8817,6304,4251,2053,-396,0.01,-3931,-3649,-7580,7636,0,0,-0.00851851055133693,N'NASDAQ',Null,Null ,CURRENT_TIMESTAMP, N'Mohan Hanumantha',CURRENT_TIMESTAMP, N'Mohan Hanumantha'),</v>
      </c>
    </row>
    <row r="67" spans="1:1">
      <c r="A67" s="9" t="str">
        <f>CONCATENATE("(N","'",Sheet1!A67,"',",Sheet1!B67,",",Sheet1!C67,",",SQL!D67,Sheet1!D67,",",Sheet1!E67,",",Sheet1!F67,",",Sheet1!G67,",",Sheet1!H67,",",Sheet1!I67,",",Sheet1!J67,",",Sheet1!K67,",",Sheet1!M67,",",Sheet1!N67,",",Sheet1!O67,",",Sheet1!Q67,",",Sheet1!R67,",",Sheet1!S67,",N'",Sheet1!T67,"',","Null",",","Null",$B$2,"),")</f>
        <v>(N'Diversified Energy',2016,85875,76713,9162,18279,12767,5512,18583,0.42,5129,-9209,-4080,4214,0,0,0.216395924308588,N'NASDAQ',Null,Null ,CURRENT_TIMESTAMP, N'Mohan Hanumantha',CURRENT_TIMESTAMP, N'Mohan Hanumantha'),</v>
      </c>
    </row>
    <row r="68" spans="1:1">
      <c r="A68" s="9" t="str">
        <f>CONCATENATE("(N","'",Sheet1!A68,"',",Sheet1!B68,",",Sheet1!C68,",",SQL!D68,Sheet1!D68,",",Sheet1!E68,",",Sheet1!F68,",",Sheet1!G68,",",Sheet1!H68,",",Sheet1!I68,",",Sheet1!J68,",",Sheet1!K68,",",Sheet1!M68,",",Sheet1!N68,",",Sheet1!O68,",",Sheet1!Q68,",",Sheet1!R68,",",Sheet1!S68,",N'",Sheet1!T68,"',","Null",",","Null",$B$2,"),")</f>
        <v>(N'Diversified Energy',2017,228683,139024,89659,41777,20908,20869,9230,0.07,6922,-93091,-86169,101113,0,0,0.0403615485191291,N'NASDAQ',Null,Null ,CURRENT_TIMESTAMP, N'Mohan Hanumantha',CURRENT_TIMESTAMP, N'Mohan Hanumantha'),</v>
      </c>
    </row>
    <row r="69" spans="1:1">
      <c r="A69" s="9" t="str">
        <f>CONCATENATE("(N","'",Sheet1!A69,"',",Sheet1!B69,",",Sheet1!C69,",",SQL!D69,Sheet1!D69,",",Sheet1!E69,",",Sheet1!F69,",",Sheet1!G69,",",Sheet1!H69,",",Sheet1!I69,",",Sheet1!J69,",",Sheet1!K69,",",Sheet1!M69,",",Sheet1!N69,",",Sheet1!O69,",",Sheet1!Q69,",",Sheet1!R69,",",Sheet1!S69,",N'",Sheet1!T69,"',","Null",",","Null",$B$2,"),")</f>
        <v>(N'Diversified Energy',2018,1556972,808109,748863,289769,107793,181976,201120,0.52,87735,-766849,-679114,665318,0,0,0.129173806593824,N'NASDAQ',Null,Null ,CURRENT_TIMESTAMP, N'Mohan Hanumantha',CURRENT_TIMESTAMP, N'Mohan Hanumantha'),</v>
      </c>
    </row>
    <row r="70" spans="1:1">
      <c r="A70" s="9" t="str">
        <f>CONCATENATE("(N","'",Sheet1!A70,"',",Sheet1!B70,",",Sheet1!C70,",",SQL!D70,Sheet1!D70,",",Sheet1!E70,",",Sheet1!F70,",",Sheet1!G70,",",Sheet1!H70,",",Sheet1!I70,",",Sheet1!J70,",",Sheet1!K70,",",Sheet1!M70,",",Sheet1!N70,",",Sheet1!O70,",",Sheet1!Q70,",",Sheet1!R70,",",Sheet1!S70,",N'",Sheet1!T70,"',","Null",",","Null",$B$2,"),")</f>
        <v>(N'Diversified Energy',2019,2005940,1067805,938135,462256,202385,259871,99400,0.15,279156,-466887,-187731,188020,1.5,10,0.0495528281005414,N'NASDAQ',Null,Null ,CURRENT_TIMESTAMP, N'Mohan Hanumantha',CURRENT_TIMESTAMP, N'Mohan Hanumantha'),</v>
      </c>
    </row>
    <row r="71" spans="1:1">
      <c r="A71" s="9" t="str">
        <f>CONCATENATE("(N","'",Sheet1!A71,"',",Sheet1!B71,",",Sheet1!C71,",",SQL!D71,Sheet1!D71,",",Sheet1!E71,",",Sheet1!F71,",",Sheet1!G71,",",Sheet1!H71,",",Sheet1!I71,",",Sheet1!J71,",",Sheet1!K71,",",Sheet1!M71,",",Sheet1!N71,",",Sheet1!O71,",",Sheet1!Q71,",",Sheet1!R71,",",Sheet1!S71,",N'",Sheet1!T71,"',","Null",",","Null",$B$2,"),")</f>
        <v>(N'Diversified Energy',2020,2290682,1404024,886658,408693,203963,204730,-23502,-0.03,241710,-256863,-15153,14871,0.89,-29.6666666666667,-0.010259826549473,N'NASDAQ',Null,Null ,CURRENT_TIMESTAMP, N'Mohan Hanumantha',CURRENT_TIMESTAMP, N'Mohan Hanumantha'),</v>
      </c>
    </row>
    <row r="72" spans="1:1">
      <c r="A72" s="9" t="str">
        <f>CONCATENATE("(N","'",Sheet1!A72,"',",Sheet1!B72,",",Sheet1!C72,",",SQL!D72,Sheet1!D72,",",Sheet1!E72,",",Sheet1!F72,",",Sheet1!G72,",",Sheet1!H72,",",Sheet1!I72,",",Sheet1!J72,",",Sheet1!K72,",",Sheet1!M72,",",Sheet1!N72,",",Sheet1!O72,",",Sheet1!Q72,",",Sheet1!R72,",",Sheet1!S72,",N'",Sheet1!T72,"',","Null",",","Null",$B$2,"),")</f>
        <v>(N'Diversified Energy',2021,3494209,2830259,663950,1007561,291213,716348,-325206,-0.41,320182,-625874,-305692,316871,1.64,-4,-0.0930699909478798,N'NASDAQ',Null,Null ,CURRENT_TIMESTAMP, N'Mohan Hanumantha',CURRENT_TIMESTAMP, N'Mohan Hanumantha'),</v>
      </c>
    </row>
    <row r="73" spans="1:1">
      <c r="A73" s="9" t="str">
        <f>CONCATENATE("(N","'",Sheet1!A73,"',",Sheet1!B73,",",Sheet1!C73,",",SQL!D73,Sheet1!D73,",",Sheet1!E73,",",Sheet1!F73,",",Sheet1!G73,",",Sheet1!H73,",",Sheet1!I73,",",Sheet1!J73,",",Sheet1!K73,",",Sheet1!M73,",",Sheet1!N73,",",Sheet1!O73,",",Sheet1!Q73,",",Sheet1!R73,",",Sheet1!S73,",N'",Sheet1!T73,"',","Null",",","Null",$B$2,"),")</f>
        <v>(N'Diversified Energy',2022,3830928,3968652,-137724,1919349,-445893,2365242,-620598,-0.74,387764,-386457,1307,-6536,1.58,-2.13513513513514,-0.161996779892496,N'NASDAQ',Null,Null ,CURRENT_TIMESTAMP, N'Mohan Hanumantha',CURRENT_TIMESTAMP, N'Mohan Hanumantha'),</v>
      </c>
    </row>
    <row r="74" spans="1:1">
      <c r="A74" s="9" t="str">
        <f>CONCATENATE("(N","'",Sheet1!A74,"',",Sheet1!B74,",",Sheet1!C74,",",SQL!D74,Sheet1!D74,",",Sheet1!E74,",",Sheet1!F74,",",Sheet1!G74,",",Sheet1!H74,",",Sheet1!I74,",",Sheet1!J74,",",Sheet1!K74,",",Sheet1!M74,",",Sheet1!N74,",",Sheet1!O74,",",Sheet1!Q74,",",Sheet1!R74,",",Sheet1!S74,",N'",Sheet1!T74,"',","Null",",","Null",$B$2,"),")</f>
        <v>(N'Enerplus Resources (USA) Corporation',2012,5412162,2362608,3049554,1188706,1405673,-216967,-310722,-0.8,535077,-747604,-212527,210468,22.42,-28.025,-0.0574118069636496,N'NASDAQ',Null,Null ,CURRENT_TIMESTAMP, N'Mohan Hanumantha',CURRENT_TIMESTAMP, N'Mohan Hanumantha'),</v>
      </c>
    </row>
    <row r="75" spans="1:1">
      <c r="A75" s="9" t="str">
        <f>CONCATENATE("(N","'",Sheet1!A75,"',",Sheet1!B75,",",Sheet1!C75,",",SQL!D75,Sheet1!D75,",",Sheet1!E75,",",Sheet1!F75,",",Sheet1!G75,",",Sheet1!H75,",",Sheet1!I75,",",Sheet1!J75,",",Sheet1!K75,",",Sheet1!M75,",",Sheet1!N75,",",Sheet1!O75,",",Sheet1!Q75,",",Sheet1!R75,",",Sheet1!S75,",N'",Sheet1!T75,"',","Null",",","Null",$B$2,"),")</f>
        <v>(N'Enerplus Resources (USA) Corporation',2013,3681799,1749497,1932302,1310602,1223984,86618,127664,0.24,766478,-265644,500834,-504521,14.61,60.875,0.0346743534886071,N'NASDAQ',Null,Null ,CURRENT_TIMESTAMP, N'Mohan Hanumantha',CURRENT_TIMESTAMP, N'Mohan Hanumantha'),</v>
      </c>
    </row>
    <row r="76" spans="1:1">
      <c r="A76" s="9" t="str">
        <f>CONCATENATE("(N","'",Sheet1!A76,"',",Sheet1!B76,",",Sheet1!C76,",",SQL!D76,Sheet1!D76,",",Sheet1!E76,",",Sheet1!F76,",",Sheet1!G76,",",Sheet1!H76,",",Sheet1!I76,",",Sheet1!J76,",",Sheet1!K76,",",Sheet1!M76,",",Sheet1!N76,",",Sheet1!O76,",",Sheet1!Q76,",",Sheet1!R76,",",Sheet1!S76,",N'",Sheet1!T76,"',","Null",",","Null",$B$2,"),")</f>
        <v>(N'Enerplus Resources (USA) Corporation',2014,4082297,1859171,2223126,1760567,1323663,436904,445251,1.46,787197,-637032,150165,-154095,20.03,13.7191780821918,0.109068742426139,N'NASDAQ',Null,Null ,CURRENT_TIMESTAMP, N'Mohan Hanumantha',CURRENT_TIMESTAMP, N'Mohan Hanumantha'),</v>
      </c>
    </row>
    <row r="77" spans="1:1">
      <c r="A77" s="9" t="str">
        <f>CONCATENATE("(N","'",Sheet1!A77,"',",Sheet1!B77,",",Sheet1!C77,",",SQL!D77,Sheet1!D77,",",Sheet1!E77,",",Sheet1!F77,",",Sheet1!G77,",",Sheet1!H77,",",Sheet1!I77,",",Sheet1!J77,",",Sheet1!K77,",",Sheet1!M77,",",Sheet1!N77,",",Sheet1!O77,",",Sheet1!Q77,",",Sheet1!R77,",",Sheet1!S77,",N'",Sheet1!T77,"',","Null",",","Null",$B$2,"),")</f>
        <v>(N'Enerplus Resources (USA) Corporation',2015,2581234,1683480,897754,884392,2717994,-1833602,-1216209,-7.39,465336,-268399,196937,-194413,10.14,-1.37212449255751,-0.471173477491773,N'NASDAQ',Null,Null ,CURRENT_TIMESTAMP, N'Mohan Hanumantha',CURRENT_TIMESTAMP, N'Mohan Hanumantha'),</v>
      </c>
    </row>
    <row r="78" spans="1:1">
      <c r="A78" s="9" t="str">
        <f>CONCATENATE("(N","'",Sheet1!A78,"',",Sheet1!B78,",",Sheet1!C78,",",SQL!D78,Sheet1!D78,",",Sheet1!E78,",",Sheet1!F78,",",Sheet1!G78,",",Sheet1!H78,",",Sheet1!I78,",",Sheet1!J78,",",Sheet1!K78,",",Sheet1!M78,",",Sheet1!N78,",",Sheet1!O78,",",Sheet1!Q78,",",Sheet1!R78,",",Sheet1!S78,",N'",Sheet1!T78,"',","Null",",","Null",$B$2,"),")</f>
        <v>(N'Enerplus Resources (USA) Corporation',2016,2638850,1178345,1460505,722732,533117,189615,348145,1.75,312290,284255,596545,-210219,3.93,2.24571428571429,0.131930575819012,N'NASDAQ',Null,Null ,CURRENT_TIMESTAMP, N'Mohan Hanumantha',CURRENT_TIMESTAMP, N'Mohan Hanumantha'),</v>
      </c>
    </row>
    <row r="79" spans="1:1">
      <c r="A79" s="9" t="str">
        <f>CONCATENATE("(N","'",Sheet1!A79,"',",Sheet1!B79,",",Sheet1!C79,",",SQL!D79,Sheet1!D79,",",Sheet1!E79,",",Sheet1!F79,",",Sheet1!G79,",",Sheet1!H79,",",Sheet1!I79,",",Sheet1!J79,",",Sheet1!K79,",",Sheet1!M79,",",Sheet1!N79,",",Sheet1!O79,",",Sheet1!Q79,",",Sheet1!R79,",",Sheet1!S79,",N'",Sheet1!T79,"',","Null",",","Null",$B$2,"),")</f>
        <v>(N'Enerplus Resources (USA) Corporation',2017,2645832,1045063,1600769,920693,616017,304676,146721,0.98,476125,-416232,59893,-81373,8.05,8.21428571428572,0.0554536342443511,N'NASDAQ',Null,Null ,CURRENT_TIMESTAMP, N'Mohan Hanumantha',CURRENT_TIMESTAMP, N'Mohan Hanumantha'),</v>
      </c>
    </row>
    <row r="80" spans="1:1">
      <c r="A80" s="9" t="str">
        <f>CONCATENATE("(N","'",Sheet1!A80,"',",Sheet1!B80,",",Sheet1!C80,",",SQL!D80,Sheet1!D80,",",Sheet1!E80,",",Sheet1!F80,",",Sheet1!G80,",",Sheet1!H80,",",Sheet1!I80,",",Sheet1!J80,",",Sheet1!K80,",",Sheet1!M80,",",Sheet1!N80,",",Sheet1!O80,",",Sheet1!Q80,",",Sheet1!R80,",",Sheet1!S80,",N'",Sheet1!T80,"',","Null",",","Null",$B$2,"),")</f>
        <v>(N'Enerplus Resources (USA) Corporation',2018,3118300,1117311,2000989,1380968,899478,481490,378279,1.55,738784,-623038,115746,738784,11.26,7.26451612903226,0.121309367283456,N'NASDAQ',Null,Null ,CURRENT_TIMESTAMP, N'Mohan Hanumantha',CURRENT_TIMESTAMP, N'Mohan Hanumantha'),</v>
      </c>
    </row>
    <row r="81" spans="1:1">
      <c r="A81" s="9" t="str">
        <f>CONCATENATE("(N","'",Sheet1!A81,"',",Sheet1!B81,",",Sheet1!C81,",",SQL!D81,Sheet1!D81,",",Sheet1!E81,",",Sheet1!F81,",",Sheet1!G81,",",Sheet1!H81,",",Sheet1!I81,",",Sheet1!J81,",",Sheet1!K81,",",Sheet1!M81,",",Sheet1!N81,",",Sheet1!O81,",",Sheet1!Q81,",",Sheet1!R81,",",Sheet1!S81,",N'",Sheet1!T81,"',","Null",",","Null",$B$2,"),")</f>
        <v>(N'Enerplus Resources (USA) Corporation',2019,2565802,1094244,1471558,1188735,1400594,-211859,-259720,-1.12,694240,-621789,72451,694240,8.41,-7.50892857142857,-0.101223710948857,N'NASDAQ',Null,Null ,CURRENT_TIMESTAMP, N'Mohan Hanumantha',CURRENT_TIMESTAMP, N'Mohan Hanumantha'),</v>
      </c>
    </row>
    <row r="82" spans="1:1">
      <c r="A82" s="9" t="str">
        <f>CONCATENATE("(N","'",Sheet1!A82,"',",Sheet1!B82,",",Sheet1!C82,",",SQL!D82,Sheet1!D82,",",Sheet1!E82,",",Sheet1!F82,",",Sheet1!G82,",",Sheet1!H82,",",Sheet1!I82,",",Sheet1!J82,",",Sheet1!K82,",",Sheet1!M82,",",Sheet1!N82,",",Sheet1!O82,",",Sheet1!Q82,",",Sheet1!R82,",",Sheet1!S82,",N'",Sheet1!T82,"',","Null",",","Null",$B$2,"),")</f>
        <v>(N'Enerplus Resources (USA) Corporation',2020,1466455,930775,535680,846024,2030146,-1184122,-923367,-4.15,446365,-337255,109110,446365,1.48,-0.356626506024096,-0.629659280373418,N'NASDAQ',Null,Null ,CURRENT_TIMESTAMP, N'Mohan Hanumantha',CURRENT_TIMESTAMP, N'Mohan Hanumantha'),</v>
      </c>
    </row>
    <row r="83" spans="1:1">
      <c r="A83" s="9" t="str">
        <f>CONCATENATE("(N","'",Sheet1!A83,"',",Sheet1!B83,",",Sheet1!C83,",",SQL!D83,Sheet1!D83,",",Sheet1!E83,",",Sheet1!F83,",",Sheet1!G83,",",Sheet1!H83,",",Sheet1!I83,",",Sheet1!J83,",",Sheet1!K83,",",Sheet1!M83,",",Sheet1!N83,",",Sheet1!O83,",",Sheet1!Q83,",",Sheet1!R83,",",Sheet1!S83,",N'",Sheet1!T83,"',","Null",",","Null",$B$2,"),")</f>
        <v>(N'Enerplus Resources (USA) Corporation',2021,1990084,1380774,609310,1208143,872258,335885,234441,0.93,604839,-893516,-288677,253101,5.01,5.38709677419355,0.117804575083263,N'NASDAQ',Null,Null ,CURRENT_TIMESTAMP, N'Mohan Hanumantha',CURRENT_TIMESTAMP, N'Mohan Hanumantha'),</v>
      </c>
    </row>
    <row r="84" spans="1:1">
      <c r="A84" s="9" t="str">
        <f>CONCATENATE("(N","'",Sheet1!A84,"',",Sheet1!B84,",",Sheet1!C84,",",SQL!D84,Sheet1!D84,",",Sheet1!E84,",",Sheet1!F84,",",Sheet1!G84,",",Sheet1!H84,",",Sheet1!I84,",",Sheet1!J84,",",Sheet1!K84,",",Sheet1!M84,",",Sheet1!N84,",",Sheet1!O84,",",Sheet1!Q84,",",Sheet1!R84,",",Sheet1!S84,",N'",Sheet1!T84,"',","Null",",","Null",$B$2,"),")</f>
        <v>(N'Enerplus Resources (USA) Corporation',2022,1937981,861368,1076613,2155688,948090,1207598,914302,3.91,1173382,-289672,883710,-908144,12.7,3.24808184143222,0.471780683092352,N'NASDAQ',Null,Null ,CURRENT_TIMESTAMP, N'Mohan Hanumantha',CURRENT_TIMESTAMP, N'Mohan Hanumantha'),</v>
      </c>
    </row>
    <row r="85" spans="1:1">
      <c r="A85" s="9" t="str">
        <f>CONCATENATE("(N","'",Sheet1!A85,"',",Sheet1!B85,",",Sheet1!C85,",",SQL!D85,Sheet1!D85,",",Sheet1!E85,",",Sheet1!F85,",",Sheet1!G85,",",Sheet1!H85,",",Sheet1!I85,",",Sheet1!J85,",",Sheet1!K85,",",Sheet1!M85,",",Sheet1!N85,",",Sheet1!O85,",",Sheet1!Q85,",",Sheet1!R85,",",Sheet1!S85,",N'",Sheet1!T85,"',","Null",",","Null",$B$2,"),")</f>
        <v>(N'EOG Resources, Inc.',2012,27336578,14051814,13284764,11682636,10202839,1479797,570279,2.13,5236777,-6119263,-882486,1139751,55.04,25.8403755868545,0.020861389454086,N'NASDAQ',Null,Null ,CURRENT_TIMESTAMP, N'Mohan Hanumantha',CURRENT_TIMESTAMP, N'Mohan Hanumantha'),</v>
      </c>
    </row>
    <row r="86" spans="1:1">
      <c r="A86" s="9" t="str">
        <f>CONCATENATE("(N","'",Sheet1!A86,"',",Sheet1!B86,",",Sheet1!C86,",",SQL!D86,Sheet1!D86,",",Sheet1!E86,",",Sheet1!F86,",",Sheet1!G86,",",Sheet1!H86,",",Sheet1!I86,",",Sheet1!J86,",",Sheet1!K86,",",Sheet1!M86,",",Sheet1!N86,",",Sheet1!O86,",",Sheet1!Q86,",",Sheet1!R86,",",Sheet1!S86,",N'",Sheet1!T86,"',","Null",",","Null",$B$2,"),")</f>
        <v>(N'EOG Resources, Inc.',2013,30574238,15155779,15418459,14487118,10811907,3675211,2197109,4.07,7329414,-6314778,1014636,-573926,63.45,15.5896805896806,0.0718614475363213,N'NASDAQ',Null,Null ,CURRENT_TIMESTAMP, N'Mohan Hanumantha',CURRENT_TIMESTAMP, N'Mohan Hanumantha'),</v>
      </c>
    </row>
    <row r="87" spans="1:1">
      <c r="A87" s="9" t="str">
        <f>CONCATENATE("(N","'",Sheet1!A87,"',",Sheet1!B87,",",Sheet1!C87,",",SQL!D87,Sheet1!D87,",",Sheet1!E87,",",Sheet1!F87,",",Sheet1!G87,",",Sheet1!H87,",",Sheet1!I87,",",Sheet1!J87,",",Sheet1!K87,",",Sheet1!M87,",",Sheet1!N87,",",Sheet1!O87,",",Sheet1!Q87,",",Sheet1!R87,",",Sheet1!S87,",N'",Sheet1!T87,"',","Null",",","Null",$B$2,"),")</f>
        <v>(N'EOG Resources, Inc.',2014,34762687,17050105,17712582,18035340,12793517,5241823,2915487,5.36,8649155,-7513565,1135590,-327734,48.59,9.06529850746269,0.0838682867063757,N'NASDAQ',Null,Null ,CURRENT_TIMESTAMP, N'Mohan Hanumantha',CURRENT_TIMESTAMP, N'Mohan Hanumantha'),</v>
      </c>
    </row>
    <row r="88" spans="1:1">
      <c r="A88" s="9" t="str">
        <f>CONCATENATE("(N","'",Sheet1!A88,"',",Sheet1!B88,",",Sheet1!C88,",",SQL!D88,Sheet1!D88,",",Sheet1!E88,",",Sheet1!F88,",",Sheet1!G88,",",Sheet1!H88,",",Sheet1!I88,",",Sheet1!J88,",",Sheet1!K88,",",Sheet1!M88,",",Sheet1!N88,",",Sheet1!O88,",",Sheet1!Q88,",",Sheet1!R88,",",Sheet1!S88,",N'",Sheet1!T88,"',","Null",",","Null",$B$2,"),")</f>
        <v>(N'EOG Resources, Inc.',2015,26975244,14032209,12943035,8757428,15443507,-6686079,-4524515,-8.29,3595165,-5320256,-1725091,-370921,90.85,-10.9589867310012,-0.167728417952401,N'NASDAQ',Null,Null ,CURRENT_TIMESTAMP, N'Mohan Hanumantha',CURRENT_TIMESTAMP, N'Mohan Hanumantha'),</v>
      </c>
    </row>
    <row r="89" spans="1:1">
      <c r="A89" s="9" t="str">
        <f>CONCATENATE("(N","'",Sheet1!A89,"',",Sheet1!B89,",",Sheet1!C89,",",SQL!D89,Sheet1!D89,",",Sheet1!E89,",",Sheet1!F89,",",Sheet1!G89,",",Sheet1!H89,",",Sheet1!I89,",",Sheet1!J89,",",Sheet1!K89,",",Sheet1!M89,",",Sheet1!N89,",",Sheet1!O89,",",Sheet1!Q89,",",Sheet1!R89,",",Sheet1!S89,",N'",Sheet1!T89,"',","Null",",","Null",$B$2,"),")</f>
        <v>(N'EOG Resources, Inc.',2016,29459433,15477852,13981581,7650632,8875913,-1225281,-1096686,-1.98,2359063,-1252944,1106119,-242722,71.92,-36.3232323232323,-0.0372269893992868,N'NASDAQ',Null,Null ,CURRENT_TIMESTAMP, N'Mohan Hanumantha',CURRENT_TIMESTAMP, N'Mohan Hanumantha'),</v>
      </c>
    </row>
    <row r="90" spans="1:1">
      <c r="A90" s="9" t="str">
        <f>CONCATENATE("(N","'",Sheet1!A90,"',",Sheet1!B90,",",Sheet1!C90,",",SQL!D90,Sheet1!D90,",",Sheet1!E90,",",Sheet1!F90,",",Sheet1!G90,",",Sheet1!H90,",",Sheet1!I90,",",Sheet1!J90,",",Sheet1!K90,",",Sheet1!M90,",",Sheet1!N90,",",Sheet1!O90,",",Sheet1!Q90,",",Sheet1!R90,",",Sheet1!S90,",N'",Sheet1!T90,"',","Null",",","Null",$B$2,"),")</f>
        <v>(N'EOG Resources, Inc.',2017,29833078,13549805,16283273,11208320,10281918,926402,2582579,4.49,4265336,-3987409,277927,-1035711,96.66,21.5278396436526,0.0865676347576338,N'NASDAQ',Null,Null ,CURRENT_TIMESTAMP, N'Mohan Hanumantha',CURRENT_TIMESTAMP, N'Mohan Hanumantha'),</v>
      </c>
    </row>
    <row r="91" spans="1:1">
      <c r="A91" s="9" t="str">
        <f>CONCATENATE("(N","'",Sheet1!A91,"',",Sheet1!B91,",",Sheet1!C91,",",SQL!D91,Sheet1!D91,",",Sheet1!E91,",",Sheet1!F91,",",Sheet1!G91,",",Sheet1!H91,",",Sheet1!I91,",",Sheet1!J91,",",Sheet1!K91,",",Sheet1!M91,",",Sheet1!N91,",",Sheet1!O91,",",Sheet1!Q91,",",Sheet1!R91,",",Sheet1!S91,",N'",Sheet1!T91,"',","Null",",","Null",$B$2,"),")</f>
        <v>(N'EOG Resources, Inc.',2018,33934474,14570286,19364188,17275399,12806053,4469346,3419040,5.93,7768608,-6170162,1598446,-839103,104,17.5379426644182,0.100754177005956,N'NASDAQ',Null,Null ,CURRENT_TIMESTAMP, N'Mohan Hanumantha',CURRENT_TIMESTAMP, N'Mohan Hanumantha'),</v>
      </c>
    </row>
    <row r="92" spans="1:1">
      <c r="A92" s="9" t="str">
        <f>CONCATENATE("(N","'",Sheet1!A92,"',",Sheet1!B92,",",Sheet1!C92,",",SQL!D92,Sheet1!D92,",",Sheet1!E92,",",Sheet1!F92,",",Sheet1!G92,",",Sheet1!H92,",",Sheet1!I92,",",Sheet1!J92,",",Sheet1!K92,",",Sheet1!M92,",",Sheet1!N92,",",Sheet1!O92,",",Sheet1!Q92,",",Sheet1!R92,",",Sheet1!S92,",N'",Sheet1!T92,"',","Null",",","Null",$B$2,"),")</f>
        <v>(N'EOG Resources, Inc.',2019,37124608,15483892,21640716,17379973,13680962,3699011,2734910,4.73,8163180,-6177173,1986007,-1513321,94.38,19.953488372093,0.0736683872864058,N'NASDAQ',Null,Null ,CURRENT_TIMESTAMP, N'Mohan Hanumantha',CURRENT_TIMESTAMP, N'Mohan Hanumantha'),</v>
      </c>
    </row>
    <row r="93" spans="1:1">
      <c r="A93" s="9" t="str">
        <f>CONCATENATE("(N","'",Sheet1!A93,"',",Sheet1!B93,",",Sheet1!C93,",",SQL!D93,Sheet1!D93,",",Sheet1!E93,",",Sheet1!F93,",",Sheet1!G93,",",Sheet1!H93,",",Sheet1!I93,",",Sheet1!J93,",",Sheet1!K93,",",Sheet1!M93,",",Sheet1!N93,",",Sheet1!O93,",",Sheet1!Q93,",",Sheet1!R93,",",Sheet1!S93,",N'",Sheet1!T93,"',","Null",",","Null",$B$2,"),")</f>
        <v>(N'EOG Resources, Inc.',2020,35804601,15502714,20301887,11032000,11576000,-544000,-605000,-1.04,5008,-3348,1660,-359,35.59,-34.2211538461538,-0.0168972697112307,N'NASDAQ',Null,Null ,CURRENT_TIMESTAMP, N'Mohan Hanumantha',CURRENT_TIMESTAMP, N'Mohan Hanumantha'),</v>
      </c>
    </row>
    <row r="94" spans="1:1">
      <c r="A94" s="9" t="str">
        <f>CONCATENATE("(N","'",Sheet1!A94,"',",Sheet1!B94,",",Sheet1!C94,",",SQL!D94,Sheet1!D94,",",Sheet1!E94,",",Sheet1!F94,",",Sheet1!G94,",",Sheet1!H94,",",Sheet1!I94,",",Sheet1!J94,",",Sheet1!K94,",",Sheet1!M94,",",Sheet1!N94,",",Sheet1!O94,",",Sheet1!Q94,",",Sheet1!R94,",",Sheet1!S94,",N'",Sheet1!T94,"',","Null",",","Null",$B$2,"),")</f>
        <v>(N'EOG Resources, Inc.',2021,38236000,16056000,22180000,18642000,12540000,6102000,4664000,8.03,8791,-3419,5372,-3493,71.87,8.95018679950187,0.121979286536249,N'NASDAQ',Null,Null ,CURRENT_TIMESTAMP, N'Mohan Hanumantha',CURRENT_TIMESTAMP, N'Mohan Hanumantha'),</v>
      </c>
    </row>
    <row r="95" spans="1:1">
      <c r="A95" s="9" t="str">
        <f>CONCATENATE("(N","'",Sheet1!A95,"',",Sheet1!B95,",",Sheet1!C95,",",SQL!D95,Sheet1!D95,",",Sheet1!E95,",",Sheet1!F95,",",Sheet1!G95,",",Sheet1!H95,",",Sheet1!I95,",",Sheet1!J95,",",Sheet1!K95,",",Sheet1!M95,",",Sheet1!N95,",",Sheet1!O95,",",Sheet1!Q95,",",Sheet1!R95,",",Sheet1!S95,",N'",Sheet1!T95,"',","Null",",","Null",$B$2,"),")</f>
        <v>(N'EOG Resources, Inc.',2022,41371000,16592000,24779000,25702000,15736000,9966000,7759000,13.31,11093,-5056,6037,-5273,118.38,8.89406461307288,0.187546832322158,N'NASDAQ',Null,Null ,CURRENT_TIMESTAMP, N'Mohan Hanumantha',CURRENT_TIMESTAMP, N'Mohan Hanumantha'),</v>
      </c>
    </row>
    <row r="96" spans="1:1">
      <c r="A96" s="9" t="str">
        <f>CONCATENATE("(N","'",Sheet1!A96,"',",Sheet1!B96,",",Sheet1!C96,",",SQL!D96,Sheet1!D96,",",Sheet1!E96,",",Sheet1!F96,",",Sheet1!G96,",",Sheet1!H96,",",Sheet1!I96,",",Sheet1!J96,",",Sheet1!K96,",",Sheet1!M96,",",Sheet1!N96,",",Sheet1!O96,",",Sheet1!Q96,",",Sheet1!R96,",",Sheet1!S96,",N'",Sheet1!T96,"',","Null",",","Null",$B$2,"),")</f>
        <v>(N'EQT Corporation',2012,8849862,4961060,3888802,1377222,987593,389629,183395,0.91,796822,-1370498,-573676,-649196,26.24,28.8351648351648,0.0207229220071454,N'NASDAQ',Null,Null ,CURRENT_TIMESTAMP, N'Mohan Hanumantha',CURRENT_TIMESTAMP, N'Mohan Hanumantha'),</v>
      </c>
    </row>
    <row r="97" spans="1:1">
      <c r="A97" s="9" t="str">
        <f>CONCATENATE("(N","'",Sheet1!A97,"',",Sheet1!B97,",",Sheet1!C97,",",SQL!D97,Sheet1!D97,",",Sheet1!E97,",",Sheet1!F97,",",Sheet1!G97,",",Sheet1!H97,",",Sheet1!I97,",",Sheet1!J97,",",Sheet1!K97,",",Sheet1!M97,",",Sheet1!N97,",",Sheet1!O97,",",Sheet1!Q97,",",Sheet1!R97,",",Sheet1!S97,",N'",Sheet1!T97,"',","Null",",","Null",$B$2,"),")</f>
        <v>(N'EQT Corporation',2013,9792053,4927925,4864128,1862011,1227025,634986,390572,1.98,1162861,-999775,163086,663586,36.88,18.6262626262626,0.0398866305155824,N'NASDAQ',Null,Null ,CURRENT_TIMESTAMP, N'Mohan Hanumantha',CURRENT_TIMESTAMP, N'Mohan Hanumantha'),</v>
      </c>
    </row>
    <row r="98" spans="1:1">
      <c r="A98" s="9" t="str">
        <f>CONCATENATE("(N","'",Sheet1!A98,"',",Sheet1!B98,",",Sheet1!C98,",",SQL!D98,Sheet1!D98,",",Sheet1!E98,",",Sheet1!F98,",",Sheet1!G98,",",Sheet1!H98,",",Sheet1!I98,",",Sheet1!J98,",",Sheet1!K98,",",Sheet1!M98,",",Sheet1!N98,",",Sheet1!O98,",",Sheet1!Q98,",",Sheet1!R98,",",Sheet1!S98,",N'",Sheet1!T98,"',","Null",",","Null",$B$2,"),")</f>
        <v>(N'EQT Corporation',2014,12064900,5691837,6373063,2469710,1650461,819249,386965,2.54,1414742,-2444212,-1029470,231788,52.78,20.7795275590551,0.0320736185132077,N'NASDAQ',Null,Null ,CURRENT_TIMESTAMP, N'Mohan Hanumantha',CURRENT_TIMESTAMP, N'Mohan Hanumantha'),</v>
      </c>
    </row>
    <row r="99" spans="1:1">
      <c r="A99" s="9" t="str">
        <f>CONCATENATE("(N","'",Sheet1!A99,"',",Sheet1!B99,",",Sheet1!C99,",",SQL!D99,Sheet1!D99,",",Sheet1!E99,",",Sheet1!F99,",",Sheet1!G99,",",Sheet1!H99,",",Sheet1!I99,",",Sheet1!J99,",",Sheet1!K99,",",Sheet1!M99,",",Sheet1!N99,",",Sheet1!O99,",",Sheet1!Q99,",",Sheet1!R99,",",Sheet1!S99,",N'",Sheet1!T99,"',","Null",",","Null",$B$2,"),")</f>
        <v>(N'EQT Corporation',2015,13976172,5948130,8028042,2339762,1776623,563139,85171,0.56,1216940,-2525607,-1308667,1832470,45.1,80.5357142857143,0.00609401487045237,N'NASDAQ',Null,Null ,CURRENT_TIMESTAMP, N'Mohan Hanumantha',CURRENT_TIMESTAMP, N'Mohan Hanumantha'),</v>
      </c>
    </row>
    <row r="100" spans="1:1">
      <c r="A100" s="9" t="str">
        <f>CONCATENATE("(N","'",Sheet1!A100,"',",Sheet1!B100,",",Sheet1!C100,",",SQL!D100,Sheet1!D100,",",Sheet1!E100,",",Sheet1!F100,",",Sheet1!G100,",",Sheet1!H100,",",Sheet1!I100,",",Sheet1!J100,",",Sheet1!K100,",",Sheet1!M100,",",Sheet1!N100,",",Sheet1!O100,",",Sheet1!Q100,",",Sheet1!R100,",",Sheet1!S100,",N'",Sheet1!T100,"',","Null",",","Null",$B$2,"),")</f>
        <v>(N'EQT Corporation',2016,15472922,6353675,9119247,1608348,1894673,-286325,-452983,-2.71,1064320,-2961481,-1897161,1399469,36.6,-13.5055350553506,-0.0292758536493624,N'NASDAQ',Null,Null ,CURRENT_TIMESTAMP, N'Mohan Hanumantha',CURRENT_TIMESTAMP, N'Mohan Hanumantha'),</v>
      </c>
    </row>
    <row r="101" spans="1:1">
      <c r="A101" s="9" t="str">
        <f>CONCATENATE("(N","'",Sheet1!A101,"',",Sheet1!B101,",",Sheet1!C101,",",SQL!D101,Sheet1!D101,",",Sheet1!E101,",",Sheet1!F101,",",Sheet1!G101,",",Sheet1!H101,",",Sheet1!I101,",",Sheet1!J101,",",Sheet1!K101,",",Sheet1!M101,",",Sheet1!N101,",",Sheet1!O101,",",Sheet1!Q101,",",Sheet1!R101,",",Sheet1!S101,",N'",Sheet1!T101,"',","Null",",","Null",$B$2,"),")</f>
        <v>(N'EQT Corporation',2017,29522604,11107991,18414613,3378015,2445034,932981,1508529,8.05,1637698,-4127070,-2489372,1533147,33.26,4.13167701863354,0.0510974235199578,N'NASDAQ',Null,Null ,CURRENT_TIMESTAMP, N'Mohan Hanumantha',CURRENT_TIMESTAMP, N'Mohan Hanumantha'),</v>
      </c>
    </row>
    <row r="102" spans="1:1">
      <c r="A102" s="9" t="str">
        <f>CONCATENATE("(N","'",Sheet1!A102,"',",Sheet1!B102,",",Sheet1!C102,",",SQL!D102,Sheet1!D102,",",Sheet1!E102,",",Sheet1!F102,",",Sheet1!G102,",",Sheet1!H102,",",Sheet1!I102,",",Sheet1!J102,",",Sheet1!K102,",",Sheet1!M102,",",Sheet1!N102,",",Sheet1!O102,",",Sheet1!Q102,",",Sheet1!R102,",",Sheet1!S102,",N'",Sheet1!T102,"',","Null",",","Null",$B$2,"),")</f>
        <v>(N'EQT Corporation',2018,20721344,9763115,10958229,4557868,7340992,-2783124,-2244568,-9.12,2976256,-3979104,-1002848,859020,25.86,-2.83552631578947,-0.108321545166182,N'NASDAQ',Null,Null ,CURRENT_TIMESTAMP, N'Mohan Hanumantha',CURRENT_TIMESTAMP, N'Mohan Hanumantha'),</v>
      </c>
    </row>
    <row r="103" spans="1:1">
      <c r="A103" s="9" t="str">
        <f>CONCATENATE("(N","'",Sheet1!A103,"',",Sheet1!B103,",",Sheet1!C103,",",SQL!D103,Sheet1!D103,",",Sheet1!E103,",",Sheet1!F103,",",Sheet1!G103,",",Sheet1!H103,",",Sheet1!I103,",",Sheet1!J103,",",Sheet1!K103,",",Sheet1!M103,",",Sheet1!N103,",",Sheet1!O103,",",Sheet1!Q103,",",Sheet1!R103,",",Sheet1!S103,",N'",Sheet1!T103,"',","Null",",","Null",$B$2,"),")</f>
        <v>(N'EQT Corporation',2019,18809227,9005639,9803588,4416484,5568594,-1152110,-1221695,-4.79,1851704,-1601142,250562,-249453,20.74,-4.32985386221294,-0.0649518983422338,N'NASDAQ',Null,Null ,CURRENT_TIMESTAMP, N'Mohan Hanumantha',CURRENT_TIMESTAMP, N'Mohan Hanumantha'),</v>
      </c>
    </row>
    <row r="104" spans="1:1">
      <c r="A104" s="9" t="str">
        <f>CONCATENATE("(N","'",Sheet1!A104,"',",Sheet1!B104,",",Sheet1!C104,",",SQL!D104,Sheet1!D104,",",Sheet1!E104,",",Sheet1!F104,",",Sheet1!G104,",",Sheet1!H104,",",Sheet1!I104,",",Sheet1!J104,",",Sheet1!K104,",",Sheet1!M104,",",Sheet1!N104,",",Sheet1!O104,",",Sheet1!Q104,",",Sheet1!R104,",",Sheet1!S104,",N'",Sheet1!T104,"',","Null",",","Null",$B$2,"),")</f>
        <v>(N'EQT Corporation',2020,18113469,8850739,9262730,3058843,3936509,-877666,967166,-3.71,1537701,-1555800,-18099,31713,7,-1.88679245283019,0.053394852195347,N'NASDAQ',Null,Null ,CURRENT_TIMESTAMP, N'Mohan Hanumantha',CURRENT_TIMESTAMP, N'Mohan Hanumantha'),</v>
      </c>
    </row>
    <row r="105" spans="1:1">
      <c r="A105" s="9" t="str">
        <f>CONCATENATE("(N","'",Sheet1!A105,"',",Sheet1!B105,",",Sheet1!C105,",",SQL!D105,Sheet1!D105,",",Sheet1!E105,",",Sheet1!F105,",",Sheet1!G105,",",Sheet1!H105,",",Sheet1!I105,",",Sheet1!J105,",",Sheet1!K105,",",Sheet1!M105,",",Sheet1!N105,",",Sheet1!O105,",",Sheet1!Q105,",",Sheet1!R105,",",Sheet1!S105,",N'",Sheet1!T105,"',","Null",",","Null",$B$2,"),")</f>
        <v>(N'EQT Corporation',2021,21607388,11636389,9970999,3064663,4425638,-1360975,-1142747,-3.54,1662448,-2072742,-410294,506047,18.58,-5.24858757062147,-0.0528868644372934,N'NASDAQ',Null,Null ,CURRENT_TIMESTAMP, N'Mohan Hanumantha',CURRENT_TIMESTAMP, N'Mohan Hanumantha'),</v>
      </c>
    </row>
    <row r="106" spans="1:1">
      <c r="A106" s="9" t="str">
        <f>CONCATENATE("(N","'",Sheet1!A106,"',",Sheet1!B106,",",Sheet1!C106,",",SQL!D106,Sheet1!D106,",",Sheet1!E106,",",Sheet1!F106,",",Sheet1!G106,",",Sheet1!H106,",",Sheet1!I106,",",Sheet1!J106,",",Sheet1!K106,",",Sheet1!M106,",",Sheet1!N106,",",Sheet1!O106,",",Sheet1!Q106,",",Sheet1!R106,",",Sheet1!S106,",N'",Sheet1!T106,"',","Null",",","Null",$B$2,"),")</f>
        <v>(N'EQT Corporation',2022,22669926,11456598,11213328,7497689,4779692,2717997,1770965,4.79,3465560,-2072742,1392818,-699126,34.41,7.18371607515658,0.0781195756880724,N'NASDAQ',Null,Null ,CURRENT_TIMESTAMP, N'Mohan Hanumantha',CURRENT_TIMESTAMP, N'Mohan Hanumantha'),</v>
      </c>
    </row>
    <row r="107" spans="1:1">
      <c r="A107" s="9" t="str">
        <f>CONCATENATE("(N","'",Sheet1!A107,"',",Sheet1!B107,",",Sheet1!C107,",",SQL!D107,Sheet1!D107,",",Sheet1!E107,",",Sheet1!F107,",",Sheet1!G107,",",Sheet1!H107,",",Sheet1!I107,",",Sheet1!J107,",",Sheet1!K107,",",Sheet1!M107,",",Sheet1!N107,",",Sheet1!O107,",",Sheet1!Q107,",",Sheet1!R107,",",Sheet1!S107,",N'",Sheet1!T107,"',","Null",",","Null",$B$2,"),")</f>
        <v>(N'Gulfport Energy Corporation',2012,1578368,451960,1126408,248926,151663,97263,68371,1.22,199158,-840579,-641421,714612,0,0,0.0433175279782662,N'NASDAQ',Null,Null ,CURRENT_TIMESTAMP, N'Mohan Hanumantha',CURRENT_TIMESTAMP, N'Mohan Hanumantha'),</v>
      </c>
    </row>
    <row r="108" spans="1:1">
      <c r="A108" s="9" t="str">
        <f>CONCATENATE("(N","'",Sheet1!A108,"',",Sheet1!B108,",",Sheet1!C108,",",SQL!D108,Sheet1!D108,",",Sheet1!E108,",",Sheet1!F108,",",Sheet1!G108,",",Sheet1!H108,",",Sheet1!I108,",",Sheet1!J108,",",Sheet1!K108,",",Sheet1!M108,",",Sheet1!N108,",",Sheet1!O108,",",Sheet1!Q108,",",Sheet1!R108,",",Sheet1!S108,",N'",Sheet1!T108,"',","Null",",","Null",$B$2,"),")</f>
        <v>(N'Gulfport Energy Corporation',2013,2693136,642898,2050238,262753,207290,55463,153192,1.98,191065,-664260,-473195,765063,0,0,0.0568823854421017,N'NASDAQ',Null,Null ,CURRENT_TIMESTAMP, N'Mohan Hanumantha',CURRENT_TIMESTAMP, N'Mohan Hanumantha'),</v>
      </c>
    </row>
    <row r="109" spans="1:1">
      <c r="A109" s="9" t="str">
        <f>CONCATENATE("(N","'",Sheet1!A109,"',",Sheet1!B109,",",Sheet1!C109,",",SQL!D109,Sheet1!D109,",",Sheet1!E109,",",Sheet1!F109,",",Sheet1!G109,",",Sheet1!H109,",",Sheet1!I109,",",Sheet1!J109,",",Sheet1!K109,",",Sheet1!M109,",",Sheet1!N109,",",Sheet1!O109,",",Sheet1!Q109,",",Sheet1!R109,",",Sheet1!S109,",N'",Sheet1!T109,"',","Null",",","Null",$B$2,"),")</f>
        <v>(N'Gulfport Energy Corporation',2014,3632393,1336097,2296296,671266,445135,226131,247403,2.9,409873,-1136657,-726784,410168,0,0,0.0681101962260141,N'NASDAQ',Null,Null ,CURRENT_TIMESTAMP, N'Mohan Hanumantha',CURRENT_TIMESTAMP, N'Mohan Hanumantha'),</v>
      </c>
    </row>
    <row r="110" spans="1:1">
      <c r="A110" s="9" t="str">
        <f>CONCATENATE("(N","'",Sheet1!A110,"',",Sheet1!B110,",",Sheet1!C110,",",SQL!D110,Sheet1!D110,",",Sheet1!E110,",",Sheet1!F110,",",Sheet1!G110,",",Sheet1!H110,",",Sheet1!I110,",",Sheet1!J110,",",Sheet1!K110,",",Sheet1!M110,",",Sheet1!N110,",",Sheet1!O110,",",Sheet1!Q110,",",Sheet1!R110,",",Sheet1!S110,",N'",Sheet1!T110,"',","Null",",","Null",$B$2,"),")</f>
        <v>(N'Gulfport Energy Corporation',2015,3334734,1295897,2038837,708990,2043704,-1334714,-1224884,-12.27,322179,-1574253,-1252074,1222708,0,0,-0.367310855978318,N'NASDAQ',Null,Null ,CURRENT_TIMESTAMP, N'Mohan Hanumantha',CURRENT_TIMESTAMP, N'Mohan Hanumantha'),</v>
      </c>
    </row>
    <row r="111" spans="1:1">
      <c r="A111" s="9" t="str">
        <f>CONCATENATE("(N","'",Sheet1!A111,"',",Sheet1!B111,",",Sheet1!C111,",",SQL!D111,Sheet1!D111,",",Sheet1!E111,",",Sheet1!F111,",",Sheet1!G111,",",Sheet1!H111,",",Sheet1!I111,",",Sheet1!J111,",",Sheet1!K111,",",Sheet1!M111,",",Sheet1!N111,",",Sheet1!O111,",",Sheet1!Q111,",",Sheet1!R111,",",Sheet1!S111,",N'",Sheet1!T111,"',","Null",",","Null",$B$2,"),")</f>
        <v>(N'Gulfport Energy Corporation',2016,4223145,2039253,2183892,385910,1254060,-868150,-979709,-7.97,337843,-905582,-567739,1730640,0,0,-0.231985641032927,N'NASDAQ',Null,Null ,CURRENT_TIMESTAMP, N'Mohan Hanumantha',CURRENT_TIMESTAMP, N'Mohan Hanumantha'),</v>
      </c>
    </row>
    <row r="112" spans="1:1">
      <c r="A112" s="9" t="str">
        <f>CONCATENATE("(N","'",Sheet1!A112,"',",Sheet1!B112,",",Sheet1!C112,",",SQL!D112,Sheet1!D112,",",Sheet1!E112,",",Sheet1!F112,",",Sheet1!G112,",",Sheet1!H112,",",Sheet1!I112,",",Sheet1!J112,",",Sheet1!K112,",",Sheet1!M112,",",Sheet1!N112,",",Sheet1!O112,",",Sheet1!Q112,",",Sheet1!R112,",",Sheet1!S112,",N'",Sheet1!T112,"',","Null",",","Null",$B$2,"),")</f>
        <v>(N'Gulfport Energy Corporation',2017,5807752,2706138,3101614,1320303,771937,548366,435152,2.42,679889,-2289168,-1609279,432961,0,0,0.0749260643360805,N'NASDAQ',Null,Null ,CURRENT_TIMESTAMP, N'Mohan Hanumantha',CURRENT_TIMESTAMP, N'Mohan Hanumantha'),</v>
      </c>
    </row>
    <row r="113" spans="1:1">
      <c r="A113" s="9" t="str">
        <f>CONCATENATE("(N","'",Sheet1!A113,"',",Sheet1!B113,",",Sheet1!C113,",",SQL!D113,Sheet1!D113,",",Sheet1!E113,",",Sheet1!F113,",",Sheet1!G113,",",Sheet1!H113,",",Sheet1!I113,",",Sheet1!J113,",",Sheet1!K113,",",Sheet1!M113,",",Sheet1!N113,",",Sheet1!O113,",",Sheet1!Q113,",",Sheet1!R113,",",Sheet1!S113,",N'",Sheet1!T113,"',","Null",",","Null",$B$2,"),")</f>
        <v>(N'Gulfport Energy Corporation',2018,6051036,2723268,3327768,1551701,1152742,398959,430560,2.46,786271,-676874,109397,-156657,0,0,0.0711547576315857,N'NASDAQ',Null,Null ,CURRENT_TIMESTAMP, N'Mohan Hanumantha',CURRENT_TIMESTAMP, N'Mohan Hanumantha'),</v>
      </c>
    </row>
    <row r="114" spans="1:1">
      <c r="A114" s="9" t="str">
        <f>CONCATENATE("(N","'",Sheet1!A114,"',",Sheet1!B114,",",Sheet1!C114,",",SQL!D114,Sheet1!D114,",",Sheet1!E114,",",Sheet1!F114,",",Sheet1!G114,",",Sheet1!H114,",",Sheet1!I114,",",Sheet1!J114,",",Sheet1!K114,",",Sheet1!M114,",",Sheet1!N114,",",Sheet1!O114,",",Sheet1!Q114,",",Sheet1!R114,",",Sheet1!S114,",N'",Sheet1!T114,"',","Null",",","Null",$B$2,"),")</f>
        <v>(N'Gulfport Energy Corporation',2019,3882819,2568227,1314592,1563126,3266819,-1703693,-2002358,-12.49,723993,-674771,49222,-95459,0,0,-0.515696971710502,N'NASDAQ',Null,Null ,CURRENT_TIMESTAMP, N'Mohan Hanumantha',CURRENT_TIMESTAMP, N'Mohan Hanumantha'),</v>
      </c>
    </row>
    <row r="115" spans="1:1">
      <c r="A115" s="9" t="str">
        <f>CONCATENATE("(N","'",Sheet1!A115,"',",Sheet1!B115,",",Sheet1!C115,",",SQL!D115,Sheet1!D115,",",Sheet1!E115,",",Sheet1!F115,",",Sheet1!G115,",",Sheet1!H115,",",Sheet1!I115,",",Sheet1!J115,",",Sheet1!K115,",",Sheet1!M115,",",Sheet1!N115,",",Sheet1!O115,",",Sheet1!Q115,",",Sheet1!R115,",",Sheet1!S115,",N'",Sheet1!T115,"',","Null",",","Null",$B$2,"),")</f>
        <v>(N'Gulfport Energy Corporation',2020,2539871,2840371,-300500,866542,2229147,-1362605,-1625133,-10.14,95304,-314587,-219283,303084,0,0,-0.639848637982008,N'NASDAQ',Null,Null ,CURRENT_TIMESTAMP, N'Mohan Hanumantha',CURRENT_TIMESTAMP, N'Mohan Hanumantha'),</v>
      </c>
    </row>
    <row r="116" spans="1:1">
      <c r="A116" s="9" t="str">
        <f>CONCATENATE("(N","'",Sheet1!A116,"',",Sheet1!B116,",",Sheet1!C116,",",SQL!D116,Sheet1!D116,",",Sheet1!E116,",",Sheet1!F116,",",Sheet1!G116,",",Sheet1!H116,",",Sheet1!I116,",",Sheet1!J116,",",Sheet1!K116,",",Sheet1!M116,",",Sheet1!N116,",",Sheet1!O116,",",Sheet1!Q116,",",Sheet1!R116,",",Sheet1!S116,",N'",Sheet1!T116,"',","Null",",","Null",$B$2,"),")</f>
        <v>(N'Gulfport Energy Corporation',2021,2168232,1560858,607374,808802,882386,-73584,133592,-4.15,465140,-297936,167204,-253805,64.7,-15.5903614457831,0.0616133328905763,N'NASDAQ',Null,Null ,CURRENT_TIMESTAMP, N'Mohan Hanumantha',CURRENT_TIMESTAMP, N'Mohan Hanumantha'),</v>
      </c>
    </row>
    <row r="117" spans="1:1">
      <c r="A117" s="9" t="str">
        <f>CONCATENATE("(N","'",Sheet1!A117,"',",Sheet1!B117,",",Sheet1!C117,",",SQL!D117,Sheet1!D117,",",Sheet1!E117,",",Sheet1!F117,",",Sheet1!G117,",",Sheet1!H117,",",Sheet1!I117,",",Sheet1!J117,",",Sheet1!K117,",",Sheet1!M117,",",Sheet1!N117,",",Sheet1!O117,",",Sheet1!Q117,",",Sheet1!R117,",",Sheet1!S117,",N'",Sheet1!T117,"',","Null",",","Null",$B$2,"),")</f>
        <v>(N'Gulfport Energy Corporation',2022,2534479,1653349,881130,1331112,787986,543126,412856,20.45,739077,-458295,280782,-276783,89.82,4.3921760391198,0.162895806199223,N'NASDAQ',Null,Null ,CURRENT_TIMESTAMP, N'Mohan Hanumantha',CURRENT_TIMESTAMP, N'Mohan Hanumantha'),</v>
      </c>
    </row>
    <row r="118" spans="1:1">
      <c r="A118" s="9" t="str">
        <f>CONCATENATE("(N","'",Sheet1!A118,"',",Sheet1!B118,",",Sheet1!C118,",",SQL!D118,Sheet1!D118,",",Sheet1!E118,",",Sheet1!F118,",",Sheet1!G118,",",Sheet1!H118,",",Sheet1!I118,",",Sheet1!J118,",",Sheet1!K118,",",Sheet1!M118,",",Sheet1!N118,",",Sheet1!O118,",",Sheet1!Q118,",",Sheet1!R118,",",Sheet1!S118,",N'",Sheet1!T118,"',","Null",",","Null",$B$2,"),")</f>
        <v>(N'Hess',2012,43441000,22238000,21203000,12935000,9598000,3337000,2025000,5.98,5660000,-7051,5652949,1682000,58.95,9.85785953177258,0.0466149490113027,N'NASDAQ',Null,Null ,CURRENT_TIMESTAMP, N'Mohan Hanumantha',CURRENT_TIMESTAMP, N'Mohan Hanumantha'),</v>
      </c>
    </row>
    <row r="119" spans="1:1">
      <c r="A119" s="9" t="str">
        <f>CONCATENATE("(N","'",Sheet1!A119,"',",Sheet1!B119,",",Sheet1!C119,",",SQL!D119,Sheet1!D119,",",Sheet1!E119,",",Sheet1!F119,",",Sheet1!G119,",",Sheet1!H119,",",Sheet1!I119,",",Sheet1!J119,",",Sheet1!K119,",",Sheet1!M119,",",Sheet1!N119,",",Sheet1!O119,",",Sheet1!Q119,",",Sheet1!R119,",",Sheet1!S119,",N'",Sheet1!T119,"',","Null",",","Null",$B$2,"),")</f>
        <v>(N'Hess',2013,42754000,17970000,24784000,14028000,9427000,4601000,5052000,15.01,4870000,578000,5448000,-4276000,71.61,4.77081945369754,0.118164382280021,N'NASDAQ',Null,Null ,CURRENT_TIMESTAMP, N'Mohan Hanumantha',CURRENT_TIMESTAMP, N'Mohan Hanumantha'),</v>
      </c>
    </row>
    <row r="120" spans="1:1">
      <c r="A120" s="9" t="str">
        <f>CONCATENATE("(N","'",Sheet1!A120,"',",Sheet1!B120,",",Sheet1!C120,",",SQL!D120,Sheet1!D120,",",Sheet1!E120,",",Sheet1!F120,",",Sheet1!G120,",",Sheet1!H120,",",Sheet1!I120,",",Sheet1!J120,",",Sheet1!K120,",",Sheet1!M120,",",Sheet1!N120,",",Sheet1!O120,",",Sheet1!Q120,",",Sheet1!R120,",",Sheet1!S120,",N'",Sheet1!T120,"',","Null",",","Null",$B$2,"),")</f>
        <v>(N'Hess',2014,38578000,16258000,22320000,11439000,9003000,2436000,2317000,7.63,4464000,1000,4465000,-3835000,82.88,10.8623853211009,0.0600601379024314,N'NASDAQ',Null,Null ,CURRENT_TIMESTAMP, N'Mohan Hanumantha',CURRENT_TIMESTAMP, N'Mohan Hanumantha'),</v>
      </c>
    </row>
    <row r="121" spans="1:1">
      <c r="A121" s="9" t="str">
        <f>CONCATENATE("(N","'",Sheet1!A121,"',",Sheet1!B121,",",Sheet1!C121,",",SQL!D121,Sheet1!D121,",",Sheet1!E121,",",Sheet1!F121,",",Sheet1!G121,",",Sheet1!H121,",",Sheet1!I121,",",Sheet1!J121,",",Sheet1!K121,",",Sheet1!M121,",",Sheet1!N121,",",Sheet1!O121,",",Sheet1!Q121,",",Sheet1!R121,",",Sheet1!S121,",N'",Sheet1!T121,"',","Null",",","Null",$B$2,"),")</f>
        <v>(N'Hess',2015,34195000,13794000,20401000,6561000,10819000,-4258000,-3056000,-10.78,1981000,-4206000,-2225000,2497000,67.87,-6.29591836734694,-0.0893697909051031,N'NASDAQ',Null,Null ,CURRENT_TIMESTAMP, N'Mohan Hanumantha',CURRENT_TIMESTAMP, N'Mohan Hanumantha'),</v>
      </c>
    </row>
    <row r="122" spans="1:1">
      <c r="A122" s="9" t="str">
        <f>CONCATENATE("(N","'",Sheet1!A122,"',",Sheet1!B122,",",Sheet1!C122,",",SQL!D122,Sheet1!D122,",",Sheet1!E122,",",Sheet1!F122,",",Sheet1!G122,",",Sheet1!H122,",",Sheet1!I122,",",Sheet1!J122,",",Sheet1!K122,",",Sheet1!M122,",",Sheet1!N122,",",Sheet1!O122,",",Sheet1!Q122,",",Sheet1!R122,",",Sheet1!S122,",N'",Sheet1!T122,"',","Null",",","Null",$B$2,"),")</f>
        <v>(N'Hess',2016,28621000,13030000,15591000,4839000,8693000,-3854000,-6173000,-19.92,795000,-2090000,-1295000,1311000,52.65,-2.64307228915663,-0.215680793822718,N'NASDAQ',Null,Null ,CURRENT_TIMESTAMP, N'Mohan Hanumantha',CURRENT_TIMESTAMP, N'Mohan Hanumantha'),</v>
      </c>
    </row>
    <row r="123" spans="1:1">
      <c r="A123" s="9" t="str">
        <f>CONCATENATE("(N","'",Sheet1!A123,"',",Sheet1!B123,",",Sheet1!C123,",",SQL!D123,Sheet1!D123,",",Sheet1!E123,",",Sheet1!F123,",",Sheet1!G123,",",Sheet1!H123,",",Sheet1!I123,",",Sheet1!J123,",",Sheet1!K123,",",Sheet1!M123,",",Sheet1!N123,",",Sheet1!O123,",",Sheet1!Q123,",",Sheet1!R123,",",Sheet1!S123,",N'",Sheet1!T123,"',","Null",",","Null",$B$2,"),")</f>
        <v>(N'Hess',2017,23112000,10758000,12354000,5391000,11169000,-5778000,-4120000,-13.12,945000,1358000,2303000,-188000,48.21,-3.67454268292683,-0.178262374524057,N'NASDAQ',Null,Null ,CURRENT_TIMESTAMP, N'Mohan Hanumantha',CURRENT_TIMESTAMP, N'Mohan Hanumantha'),</v>
      </c>
    </row>
    <row r="124" spans="1:1">
      <c r="A124" s="9" t="str">
        <f>CONCATENATE("(N","'",Sheet1!A124,"',",Sheet1!B124,",",Sheet1!C124,",",SQL!D124,Sheet1!D124,",",Sheet1!E124,",",Sheet1!F124,",",Sheet1!G124,",",Sheet1!H124,",",Sheet1!I124,",",Sheet1!J124,",",Sheet1!K124,",",Sheet1!M124,",",Sheet1!N124,",",Sheet1!O124,",",Sheet1!Q124,",",Sheet1!R124,",",Sheet1!S124,",N'",Sheet1!T124,"',","Null",",","Null",$B$2,"),")</f>
        <v>(N'Hess',2018,21433000,10545000,10888000,6466000,6246000,220000,-328000,-1.1,1939000,-1566000,373000,-2526000,50.62,-46.0181818181818,-0.0153035039425185,N'NASDAQ',Null,Null ,CURRENT_TIMESTAMP, N'Mohan Hanumantha',CURRENT_TIMESTAMP, N'Mohan Hanumantha'),</v>
      </c>
    </row>
    <row r="125" spans="1:1">
      <c r="A125" s="9" t="str">
        <f>CONCATENATE("(N","'",Sheet1!A125,"',",Sheet1!B125,",",Sheet1!C125,",",SQL!D125,Sheet1!D125,",",Sheet1!E125,",",Sheet1!F125,",",Sheet1!G125,",",Sheet1!H125,",",Sheet1!I125,",",Sheet1!J125,",",Sheet1!K125,",",Sheet1!M125,",",Sheet1!N125,",",Sheet1!O125,",",Sheet1!Q125,",",Sheet1!R125,",",Sheet1!S125,",N'",Sheet1!T125,"',","Null",",","Null",$B$2,"),")</f>
        <v>(N'Hess',2019,21782000,12076000,9706000,6510000,6289000,221000,-412000,-1.37,1642000,-2843000,-1201000,52000,60.23,-43.963503649635,-0.0189147002111835,N'NASDAQ',Null,Null ,CURRENT_TIMESTAMP, N'Mohan Hanumantha',CURRENT_TIMESTAMP, N'Mohan Hanumantha'),</v>
      </c>
    </row>
    <row r="126" spans="1:1">
      <c r="A126" s="9" t="str">
        <f>CONCATENATE("(N","'",Sheet1!A126,"',",Sheet1!B126,",",Sheet1!C126,",",SQL!D126,Sheet1!D126,",",Sheet1!E126,",",Sheet1!F126,",",Sheet1!G126,",",Sheet1!H126,",",Sheet1!I126,",",Sheet1!J126,",",Sheet1!K126,",",Sheet1!M126,",",Sheet1!N126,",",Sheet1!O126,",",Sheet1!Q126,",",Sheet1!R126,",",Sheet1!S126,",N'",Sheet1!T126,"',","Null",",","Null",$B$2,"),")</f>
        <v>(N'Hess',2020,18821000,12486000,6335000,4804000,7654000,-2850000,-3093000,-10.15,1333000,-1707000,-374000,568000,33.3,-3.2807881773399,-0.164337707879496,N'NASDAQ',Null,Null ,CURRENT_TIMESTAMP, N'Mohan Hanumantha',CURRENT_TIMESTAMP, N'Mohan Hanumantha'),</v>
      </c>
    </row>
    <row r="127" spans="1:1">
      <c r="A127" s="9" t="str">
        <f>CONCATENATE("(N","'",Sheet1!A127,"',",Sheet1!B127,",",Sheet1!C127,",",SQL!D127,Sheet1!D127,",",Sheet1!E127,",",Sheet1!F127,",",Sheet1!G127,",",Sheet1!H127,",",Sheet1!I127,",",Sheet1!J127,",",Sheet1!K127,",",Sheet1!M127,",",Sheet1!N127,",",Sheet1!O127,",",Sheet1!Q127,",",Sheet1!R127,",",Sheet1!S127,",N'",Sheet1!T127,"',","Null",",","Null",$B$2,"),")</f>
        <v>(N'Hess',2021,20515000,13489000,7026000,7583000,6093000,1490000,559000,1.82,2890000,-1325000,1565000,-591000,70.76,38.8791208791209,0.0272483548622959,N'NASDAQ',Null,Null ,CURRENT_TIMESTAMP, N'Mohan Hanumantha',CURRENT_TIMESTAMP, N'Mohan Hanumantha'),</v>
      </c>
    </row>
    <row r="128" spans="1:1">
      <c r="A128" s="9" t="str">
        <f>CONCATENATE("(N","'",Sheet1!A128,"',",Sheet1!B128,",",Sheet1!C128,",",SQL!D128,Sheet1!D128,",",Sheet1!E128,",",Sheet1!F128,",",Sheet1!G128,",",Sheet1!H128,",",Sheet1!I128,",",Sheet1!J128,",",Sheet1!K128,",",Sheet1!M128,",",Sheet1!N128,",",Sheet1!O128,",",Sheet1!Q128,",",Sheet1!R128,",",Sheet1!S128,",N'",Sheet1!T128,"',","Null",",","Null",$B$2,"),")</f>
        <v>(N'Hess',2022,21695000,13199000,8496000,11570000,8024000,3546000,2096000,6.8,3944000,-2555000,1389000,-1616000,107,15.7352941176471,0.0966121226088961,N'NASDAQ',Null,Null ,CURRENT_TIMESTAMP, N'Mohan Hanumantha',CURRENT_TIMESTAMP, N'Mohan Hanumantha'),</v>
      </c>
    </row>
    <row r="129" spans="1:1">
      <c r="A129" s="9" t="str">
        <f>CONCATENATE("(N","'",Sheet1!A129,"',",Sheet1!B129,",",Sheet1!C129,",",SQL!D129,Sheet1!D129,",",Sheet1!E129,",",Sheet1!F129,",",Sheet1!G129,",",Sheet1!H129,",",Sheet1!I129,",",Sheet1!J129,",",Sheet1!K129,",",Sheet1!M129,",",Sheet1!N129,",",Sheet1!O129,",",Sheet1!Q129,",",Sheet1!R129,",",Sheet1!S129,",N'",Sheet1!T129,"',","Null",",","Null",$B$2,"),")</f>
        <v>(N'Marathon Oil Corporation',2012,35620000,16276000,19344000,12486000,9160000,3326000,1582000,2.24,4017000,-5439000,-1422000,1600000,31.7,14.1517857142857,0.044413250982594,N'NASDAQ',Null,Null ,CURRENT_TIMESTAMP, N'Mohan Hanumantha',CURRENT_TIMESTAMP, N'Mohan Hanumantha'),</v>
      </c>
    </row>
    <row r="130" spans="1:1">
      <c r="A130" s="9" t="str">
        <f>CONCATENATE("(N","'",Sheet1!A130,"',",Sheet1!B130,",",Sheet1!C130,",",SQL!D130,Sheet1!D130,",",Sheet1!E130,",",Sheet1!F130,",",Sheet1!G130,",",Sheet1!H130,",",Sheet1!I130,",",Sheet1!J130,",",Sheet1!K130,",",Sheet1!M130,",",Sheet1!N130,",",Sheet1!O130,",",Sheet1!Q130,",",Sheet1!R130,",",Sheet1!S130,",N'",Sheet1!T130,"',","Null",",","Null",$B$2,"),")</f>
        <v>(N'Marathon Oil Corporation',2013,35620000,16276000,19344000,11783000,9112000,2671000,1753000,2.49,5270000,-4521000,749000,-1162000,33.72,13.5421686746988,0.04921392476137,N'NASDAQ',Null,Null ,CURRENT_TIMESTAMP, N'Mohan Hanumantha',CURRENT_TIMESTAMP, N'Mohan Hanumantha'),</v>
      </c>
    </row>
    <row r="131" spans="1:1">
      <c r="A131" s="9" t="str">
        <f>CONCATENATE("(N","'",Sheet1!A131,"',",Sheet1!B131,",",Sheet1!C131,",",SQL!D131,Sheet1!D131,",",Sheet1!E131,",",Sheet1!F131,",",Sheet1!G131,",",Sheet1!H131,",",Sheet1!I131,",",Sheet1!J131,",",Sheet1!K131,",",Sheet1!M131,",",Sheet1!N131,",",Sheet1!O131,",",Sheet1!Q131,",",Sheet1!R131,",",Sheet1!S131,",N'",Sheet1!T131,"',","Null",",","Null",$B$2,"),")</f>
        <v>(N'Marathon Oil Corporation',2014,36011000,14991000,21020000,11258000,9659000,1599000,3046000,4.48,5487000,-1746000,3741000,-1593000,35.52,7.92857142857143,0.0845852656132848,N'NASDAQ',Null,Null ,CURRENT_TIMESTAMP, N'Mohan Hanumantha',CURRENT_TIMESTAMP, N'Mohan Hanumantha'),</v>
      </c>
    </row>
    <row r="132" spans="1:1">
      <c r="A132" s="9" t="str">
        <f>CONCATENATE("(N","'",Sheet1!A132,"',",Sheet1!B132,",",Sheet1!C132,",",SQL!D132,Sheet1!D132,",",Sheet1!E132,",",Sheet1!F132,",",Sheet1!G132,",",Sheet1!H132,",",Sheet1!I132,",",Sheet1!J132,",",Sheet1!K132,",",Sheet1!M132,",",Sheet1!N132,",",Sheet1!O132,",",Sheet1!Q132,",",Sheet1!R132,",",Sheet1!S132,",N'",Sheet1!T132,"',","Null",",","Null",$B$2,"),")</f>
        <v>(N'Marathon Oil Corporation',2015,32311000,13758000,18553000,4953000,7106000,-2153000,-2204000,-3.26,1537000,-3159000,-1622000,451000,26.11,-8.00920245398773,-0.0682120640029711,N'NASDAQ',Null,Null ,CURRENT_TIMESTAMP, N'Mohan Hanumantha',CURRENT_TIMESTAMP, N'Mohan Hanumantha'),</v>
      </c>
    </row>
    <row r="133" spans="1:1">
      <c r="A133" s="9" t="str">
        <f>CONCATENATE("(N","'",Sheet1!A133,"',",Sheet1!B133,",",Sheet1!C133,",",SQL!D133,Sheet1!D133,",",Sheet1!E133,",",Sheet1!F133,",",Sheet1!G133,",",Sheet1!H133,",",Sheet1!I133,",",Sheet1!J133,",",Sheet1!K133,",",Sheet1!M133,",",Sheet1!N133,",",Sheet1!O133,",",Sheet1!Q133,",",Sheet1!R133,",",Sheet1!S133,",N'",Sheet1!T133,"',","Null",",","Null",$B$2,"),")</f>
        <v>(N'Marathon Oil Corporation',2016,31094000,2240000,28854000,3787000,4619000,-832000,-2140000,-2.61,901000,-833000,68000,1068000,11.14,-4.26819923371648,-0.0688235672477005,N'NASDAQ',Null,Null ,CURRENT_TIMESTAMP, N'Mohan Hanumantha',CURRENT_TIMESTAMP, N'Mohan Hanumantha'),</v>
      </c>
    </row>
    <row r="134" spans="1:1">
      <c r="A134" s="9" t="str">
        <f>CONCATENATE("(N","'",Sheet1!A134,"',",Sheet1!B134,",",Sheet1!C134,",",SQL!D134,Sheet1!D134,",",Sheet1!E134,",",Sheet1!F134,",",Sheet1!G134,",",Sheet1!H134,",",Sheet1!I134,",",Sheet1!J134,",",Sheet1!K134,",",Sheet1!M134,",",Sheet1!N134,",",Sheet1!O134,",",Sheet1!Q134,",",Sheet1!R134,",",Sheet1!S134,",N'",Sheet1!T134,"',","Null",",","Null",$B$2,"),")</f>
        <v>(N'Marathon Oil Corporation',2017,22012000,1968000,20044000,4765000,4898000,-133000,-5723000,-6.73,1988000,-2044000,-56000,-2003000,15.8,-2.34769687964339,-0.25999454842813,N'NASDAQ',Null,Null ,CURRENT_TIMESTAMP, N'Mohan Hanumantha',CURRENT_TIMESTAMP, N'Mohan Hanumantha'),</v>
      </c>
    </row>
    <row r="135" spans="1:1">
      <c r="A135" s="9" t="str">
        <f>CONCATENATE("(N","'",Sheet1!A135,"',",Sheet1!B135,",",Sheet1!C135,",",SQL!D135,Sheet1!D135,",",Sheet1!E135,",",Sheet1!F135,",",Sheet1!G135,",",Sheet1!H135,",",Sheet1!I135,",",Sheet1!J135,",",Sheet1!K135,",",Sheet1!M135,",",Sheet1!N135,",",Sheet1!O135,",",Sheet1!Q135,",",Sheet1!R135,",",Sheet1!S135,",N'",Sheet1!T135,"',","Null",",","Null",$B$2,"),")</f>
        <v>(N'Marathon Oil Corporation',2018,21321000,9193000,12128000,6582000,4915000,1667000,1096000,1.3,3234000,-1470000,1764000,-859000,16.13,12.4076923076923,0.0514047183527977,N'NASDAQ',Null,Null ,CURRENT_TIMESTAMP, N'Mohan Hanumantha',CURRENT_TIMESTAMP, N'Mohan Hanumantha'),</v>
      </c>
    </row>
    <row r="136" spans="1:1">
      <c r="A136" s="9" t="str">
        <f>CONCATENATE("(N","'",Sheet1!A136,"',",Sheet1!B136,",",Sheet1!C136,",",SQL!D136,Sheet1!D136,",",Sheet1!E136,",",Sheet1!F136,",",Sheet1!G136,",",Sheet1!H136,",",Sheet1!I136,",",Sheet1!J136,",",Sheet1!K136,",",Sheet1!M136,",",Sheet1!N136,",",Sheet1!O136,",",Sheet1!Q136,",",Sheet1!R136,",",Sheet1!S136,",N'",Sheet1!T136,"',","Null",",","Null",$B$2,"),")</f>
        <v>(N'Marathon Oil Corporation',2019,20245000,8092000,12153000,5190000,4554000,636000,480000,0.59,2749000,-2818000,-69000,-535000,16.71,28.3220338983051,0.0237095579155347,N'NASDAQ',Null,Null ,CURRENT_TIMESTAMP, N'Mohan Hanumantha',CURRENT_TIMESTAMP, N'Mohan Hanumantha'),</v>
      </c>
    </row>
    <row r="137" spans="1:1">
      <c r="A137" s="9" t="str">
        <f>CONCATENATE("(N","'",Sheet1!A137,"',",Sheet1!B137,",",Sheet1!C137,",",SQL!D137,Sheet1!D137,",",Sheet1!E137,",",Sheet1!F137,",",Sheet1!G137,",",Sheet1!H137,",",Sheet1!I137,",",Sheet1!J137,",",Sheet1!K137,",",Sheet1!M137,",",Sheet1!N137,",",Sheet1!O137,",",Sheet1!Q137,",",Sheet1!R137,",",Sheet1!S137,",N'",Sheet1!T137,"',","Null",",","Null",$B$2,"),")</f>
        <v>(N'Marathon Oil Corporation',2020,17956000,7395000,10561000,3086000,4266000,-1180000,-1451000,-1.83,1473000,-1303000,170000,-286000,3.29,-1.79781420765027,-0.0808086433504121,N'NASDAQ',Null,Null ,CURRENT_TIMESTAMP, N'Mohan Hanumantha',CURRENT_TIMESTAMP, N'Mohan Hanumantha'),</v>
      </c>
    </row>
    <row r="138" spans="1:1">
      <c r="A138" s="9" t="str">
        <f>CONCATENATE("(N","'",Sheet1!A138,"',",Sheet1!B138,",",Sheet1!C138,",",SQL!D138,Sheet1!D138,",",Sheet1!E138,",",Sheet1!F138,",",Sheet1!G138,",",Sheet1!H138,",",Sheet1!I138,",",Sheet1!J138,",",Sheet1!K138,",",Sheet1!M138,",",Sheet1!N138,",",Sheet1!O138,",",Sheet1!Q138,",",Sheet1!R138,",",Sheet1!S138,",N'",Sheet1!T138,"',","Null",",","Null",$B$2,"),")</f>
        <v>(N'Marathon Oil Corporation',2021,16994000,6308000,10686000,5467000,4159000,1308000,946000,1.2,3239000,-1010000,2229000,-2391000,10.68,8.9,0.0556667058961987,N'NASDAQ',Null,Null ,CURRENT_TIMESTAMP, N'Mohan Hanumantha',CURRENT_TIMESTAMP, N'Mohan Hanumantha'),</v>
      </c>
    </row>
    <row r="139" spans="1:1">
      <c r="A139" s="9" t="str">
        <f>CONCATENATE("(N","'",Sheet1!A139,"',",Sheet1!B139,",",Sheet1!C139,",",SQL!D139,Sheet1!D139,",",Sheet1!E139,",",Sheet1!F139,",",Sheet1!G139,",",Sheet1!H139,",",Sheet1!I139,",",Sheet1!J139,",",Sheet1!K139,",",Sheet1!M139,",",Sheet1!N139,",",Sheet1!O139,",",Sheet1!Q139,",",Sheet1!R139,",",Sheet1!S139,",N'",Sheet1!T139,"',","Null",",","Null",$B$2,"),")</f>
        <v>(N'Marathon Oil Corporation',2022,19940000,8543000,11397000,8036000,4085000,3951000,3612000,5.27,5428000,-4605000,823000,-1069000,25.11,4.76470588235294,0.181143430290873,N'NASDAQ',Null,Null ,CURRENT_TIMESTAMP, N'Mohan Hanumantha',CURRENT_TIMESTAMP, N'Mohan Hanumantha'),</v>
      </c>
    </row>
    <row r="140" spans="1:1">
      <c r="A140" s="9" t="str">
        <f>CONCATENATE("(N","'",Sheet1!A140,"',",Sheet1!B140,",",Sheet1!C140,",",SQL!D140,Sheet1!D140,",",Sheet1!E140,",",Sheet1!F140,",",Sheet1!G140,",",Sheet1!H140,",",Sheet1!I140,",",Sheet1!J140,",",Sheet1!K140,",",Sheet1!M140,",",Sheet1!N140,",",Sheet1!O140,",",Sheet1!Q140,",",Sheet1!R140,",",Sheet1!S140,",N'",Sheet1!T140,"',","Null",",","Null",$B$2,"),")</f>
        <v>(N'Ovintiv, Inc.',2019,21487000,11557000,9930000,6726000,6128000,598000,234000,0.9,2921000,-2556000,365000,-1238000,36.2,40.2222222222222,0.0108903057662773,N'NASDAQ',Null,Null ,CURRENT_TIMESTAMP, N'Mohan Hanumantha',CURRENT_TIMESTAMP, N'Mohan Hanumantha'),</v>
      </c>
    </row>
    <row r="141" spans="1:1">
      <c r="A141" s="9" t="str">
        <f>CONCATENATE("(N","'",Sheet1!A141,"',",Sheet1!B141,",",Sheet1!C141,",",SQL!D141,Sheet1!D141,",",Sheet1!E141,",",Sheet1!F141,",",Sheet1!G141,",",Sheet1!H141,",",Sheet1!I141,",",Sheet1!J141,",",Sheet1!K141,",",Sheet1!M141,",",Sheet1!N141,",",Sheet1!O141,",",Sheet1!Q141,",",Sheet1!R141,",",Sheet1!S141,",N'",Sheet1!T141,"',","Null",",","Null",$B$2,"),")</f>
        <v>(N'Ovintiv, Inc.',2020,14469000,10632000,3837000,6087000,11484000,-5397000,-6097000,-23.47,1895000,-1864000,31000,-206000,2.7,-0.115040477204942,-0.421383647798742,N'NASDAQ',Null,Null ,CURRENT_TIMESTAMP, N'Mohan Hanumantha',CURRENT_TIMESTAMP, N'Mohan Hanumantha'),</v>
      </c>
    </row>
    <row r="142" spans="1:1">
      <c r="A142" s="9" t="str">
        <f>CONCATENATE("(N","'",Sheet1!A142,"',",Sheet1!B142,",",Sheet1!C142,",",SQL!D142,Sheet1!D142,",",Sheet1!E142,",",Sheet1!F142,",",Sheet1!G142,",",Sheet1!H142,",",Sheet1!I142,",",Sheet1!J142,",",Sheet1!K142,",",Sheet1!M142,",",Sheet1!N142,",",Sheet1!O142,",",Sheet1!Q142,",",Sheet1!R142,",",Sheet1!S142,",N'",Sheet1!T142,"',","Null",",","Null",$B$2,"),")</f>
        <v>(N'Ovintiv, Inc.',2021,14055000,8981000,5074000,8658000,7139000,1519000,1416000,5.44,3129000,-525000,2604000,-2419000,23.82,4.37867647058823,0.100747065101387,N'NASDAQ',Null,Null ,CURRENT_TIMESTAMP, N'Mohan Hanumantha',CURRENT_TIMESTAMP, N'Mohan Hanumantha'),</v>
      </c>
    </row>
    <row r="143" spans="1:1">
      <c r="A143" s="9" t="str">
        <f>CONCATENATE("(N","'",Sheet1!A143,"',",Sheet1!B143,",",Sheet1!C143,",",SQL!D143,Sheet1!D143,",",Sheet1!E143,",",Sheet1!F143,",",Sheet1!G143,",",Sheet1!H143,",",Sheet1!I143,",",Sheet1!J143,",",Sheet1!K143,",",Sheet1!M143,",",Sheet1!N143,",",Sheet1!O143,",",Sheet1!Q143,",",Sheet1!R143,",",Sheet1!S143,",N'",Sheet1!T143,"',","Null",",","Null",$B$2,"),")</f>
        <v>(N'Ovintiv, Inc.',2022,15056000,7367000,7689000,12464000,8611000,3853000,3637000,14.34,3866000,-1786000,2080000,-2268000,54.07,3.77057182705718,0.241564824654623,N'NASDAQ',Null,Null ,CURRENT_TIMESTAMP, N'Mohan Hanumantha',CURRENT_TIMESTAMP, N'Mohan Hanumantha'),</v>
      </c>
    </row>
    <row r="144" spans="1:1">
      <c r="A144" s="9" t="str">
        <f>CONCATENATE("(N","'",Sheet1!A144,"',",Sheet1!B144,",",Sheet1!C144,",",SQL!D144,Sheet1!D144,",",Sheet1!E144,",",Sheet1!F144,",",Sheet1!G144,",",Sheet1!H144,",",Sheet1!I144,",",Sheet1!J144,",",Sheet1!K144,",",Sheet1!M144,",",Sheet1!N144,",",Sheet1!O144,",",Sheet1!Q144,",",Sheet1!R144,",",Sheet1!S144,",N'",Sheet1!T144,"',","Null",",","Null",$B$2,"),")</f>
        <v>(N'Permian Resources',2022,8492592,2836296,5656296,2131265,1122415,1008850,515037,1.8,1371671,-1205049,166622,-106625,8.07,4.48333333333333,0.0606454425221417,N'NASDAQ',Null,Null ,CURRENT_TIMESTAMP, N'Mohan Hanumantha',CURRENT_TIMESTAMP, N'Mohan Hanumantha'),</v>
      </c>
    </row>
    <row r="145" spans="1:1">
      <c r="A145" s="9" t="str">
        <f>CONCATENATE("(N","'",Sheet1!A145,"',",Sheet1!B145,",",Sheet1!C145,",",SQL!D145,Sheet1!D145,",",Sheet1!E145,",",Sheet1!F145,",",Sheet1!G145,",",Sheet1!H145,",",Sheet1!I145,",",Sheet1!J145,",",Sheet1!K145,",",Sheet1!M145,",",Sheet1!N145,",",Sheet1!O145,",",Sheet1!Q145,",",Sheet1!R145,",",Sheet1!S145,",N'",Sheet1!T145,"',","Null",",","Null",$B$2,"),")</f>
        <v>(N'Pioneer Natural Resources Company',2012,13069030,7201722,5867308,3009000,2177000,832000,192000,1.54,1837000,-3256000,-1419000,1111000,111.59,72.461038961039,0.0146912203889654,N'NASDAQ',Null,Null ,CURRENT_TIMESTAMP, N'Mohan Hanumantha',CURRENT_TIMESTAMP, N'Mohan Hanumantha'),</v>
      </c>
    </row>
    <row r="146" spans="1:1">
      <c r="A146" s="9" t="str">
        <f>CONCATENATE("(N","'",Sheet1!A146,"',",Sheet1!B146,",",Sheet1!C146,",",SQL!D146,Sheet1!D146,",",Sheet1!E146,",",Sheet1!F146,",",Sheet1!G146,",",Sheet1!H146,",",Sheet1!I146,",",Sheet1!J146,",",Sheet1!K146,",",Sheet1!M146,",",Sheet1!N146,",",Sheet1!O146,",",Sheet1!Q146,",",Sheet1!R146,",",Sheet1!S146,",N'",Sheet1!T146,"',","Null",",","Null",$B$2,"),")</f>
        <v>(N'Pioneer Natural Resources Company',2013,12294000,5679000,6615000,3652000,4226000,-574000,-838000,-6.16,2146000,-2140000,6000,158000,124.25,-20.1704545454545,-0.0681633317065235,N'NASDAQ',Null,Null ,CURRENT_TIMESTAMP, N'Mohan Hanumantha',CURRENT_TIMESTAMP, N'Mohan Hanumantha'),</v>
      </c>
    </row>
    <row r="147" spans="1:1">
      <c r="A147" s="9" t="str">
        <f>CONCATENATE("(N","'",Sheet1!A147,"',",Sheet1!B147,",",Sheet1!C147,",",SQL!D147,Sheet1!D147,",",Sheet1!E147,",",Sheet1!F147,",",Sheet1!G147,",",Sheet1!H147,",",Sheet1!I147,",",Sheet1!J147,",",Sheet1!K147,",",Sheet1!M147,",",Sheet1!N147,",",Sheet1!O147,",",Sheet1!Q147,",",Sheet1!R147,",",Sheet1!S147,",N'",Sheet1!T147,"',","Null",",","Null",$B$2,"),")</f>
        <v>(N'Pioneer Natural Resources Company',2014,14926000,6337000,8589000,5055000,3458000,1597000,930000,6.4,2366000,-2699000,-333000,965000,187.14,29.240625,0.0623073830899102,N'NASDAQ',Null,Null ,CURRENT_TIMESTAMP, N'Mohan Hanumantha',CURRENT_TIMESTAMP, N'Mohan Hanumantha'),</v>
      </c>
    </row>
    <row r="148" spans="1:1">
      <c r="A148" s="9" t="str">
        <f>CONCATENATE("(N","'",Sheet1!A148,"',",Sheet1!B148,",",Sheet1!C148,",",SQL!D148,Sheet1!D148,",",Sheet1!E148,",",Sheet1!F148,",",Sheet1!G148,",",Sheet1!H148,",",Sheet1!I148,",",Sheet1!J148,",",Sheet1!K148,",",Sheet1!M148,",",Sheet1!N148,",",Sheet1!O148,",",Sheet1!Q148,",",Sheet1!R148,",",Sheet1!S148,",N'",Sheet1!T148,"',","Null",",","Null",$B$2,"),")</f>
        <v>(N'Pioneer Natural Resources Company',2015,15154000,6779000,8375000,4561000,4982000,-421000,-273000,-1.79,1255000,-1840000,-585000,951000,163.51,-91.3463687150838,-0.0180150455325327,N'NASDAQ',Null,Null ,CURRENT_TIMESTAMP, N'Mohan Hanumantha',CURRENT_TIMESTAMP, N'Mohan Hanumantha'),</v>
      </c>
    </row>
    <row r="149" spans="1:1">
      <c r="A149" s="9" t="str">
        <f>CONCATENATE("(N","'",Sheet1!A149,"',",Sheet1!B149,",",Sheet1!C149,",",SQL!D149,Sheet1!D149,",",Sheet1!E149,",",Sheet1!F149,",",Sheet1!G149,",",Sheet1!H149,",",Sheet1!I149,",",Sheet1!J149,",",Sheet1!K149,",",Sheet1!M149,",",Sheet1!N149,",",Sheet1!O149,",",Sheet1!Q149,",",Sheet1!R149,",",Sheet1!S149,",N'",Sheet1!T149,"',","Null",",","Null",$B$2,"),")</f>
        <v>(N'Pioneer Natural Resources Company',2016,16459000,6048000,10411000,3382000,4341000,-959000,-556000,-3.34,1499000,-3820000,-2321000,2048000,140.74,-42.1377245508982,-0.0337809101403487,N'NASDAQ',Null,Null ,CURRENT_TIMESTAMP, N'Mohan Hanumantha',CURRENT_TIMESTAMP, N'Mohan Hanumantha'),</v>
      </c>
    </row>
    <row r="150" spans="1:1">
      <c r="A150" s="9" t="str">
        <f>CONCATENATE("(N","'",Sheet1!A150,"',",Sheet1!B150,",",Sheet1!C150,",",SQL!D150,Sheet1!D150,",",Sheet1!E150,",",Sheet1!F150,",",Sheet1!G150,",",Sheet1!H150,",",Sheet1!I150,",",Sheet1!J150,",",Sheet1!K150,",",Sheet1!M150,",",Sheet1!N150,",",Sheet1!O150,",",Sheet1!Q150,",",Sheet1!R150,",",Sheet1!S150,",N'",Sheet1!T150,"',","Null",",","Null",$B$2,"),")</f>
        <v>(N'Pioneer Natural Resources Company',2017,17003000,5724000,11279000,5455000,5146000,309000,833000,4.86,2090000,-1783000,307000,-529000,186.23,38.3189300411523,0.0489913544668588,N'NASDAQ',Null,Null ,CURRENT_TIMESTAMP, N'Mohan Hanumantha',CURRENT_TIMESTAMP, N'Mohan Hanumantha'),</v>
      </c>
    </row>
    <row r="151" spans="1:1">
      <c r="A151" s="9" t="str">
        <f>CONCATENATE("(N","'",Sheet1!A151,"',",Sheet1!B151,",",Sheet1!C151,",",SQL!D151,Sheet1!D151,",",Sheet1!E151,",",Sheet1!F151,",",Sheet1!G151,",",Sheet1!H151,",",Sheet1!I151,",",Sheet1!J151,",",Sheet1!K151,",",Sheet1!M151,",",Sheet1!N151,",",Sheet1!O151,",",Sheet1!Q151,",",Sheet1!R151,",",Sheet1!S151,",N'",Sheet1!T151,"',","Null",",","Null",$B$2,"),")</f>
        <v>(N'Pioneer Natural Resources Company',2018,17903000,5792000,12111000,9415000,8164000,1251000,978000,5.71,3242000,-2610000,632000,-703000,171.78,30.0840630472855,0.0546277160252472,N'NASDAQ',Null,Null ,CURRENT_TIMESTAMP, N'Mohan Hanumantha',CURRENT_TIMESTAMP, N'Mohan Hanumantha'),</v>
      </c>
    </row>
    <row r="152" spans="1:1">
      <c r="A152" s="9" t="str">
        <f>CONCATENATE("(N","'",Sheet1!A152,"',",Sheet1!B152,",",Sheet1!C152,",",SQL!D152,Sheet1!D152,",",Sheet1!E152,",",Sheet1!F152,",",Sheet1!G152,",",Sheet1!H152,",",Sheet1!I152,",",Sheet1!J152,",",Sheet1!K152,",",Sheet1!M152,",",Sheet1!N152,",",Sheet1!O152,",",Sheet1!Q152,",",Sheet1!R152,",",Sheet1!S152,",N'",Sheet1!T152,"',","Null",",","Null",$B$2,"),")</f>
        <v>(N'Pioneer Natural Resources Company',2019,19088000,6952000,12136000,9325000,8317000,1008000,773000,4.6,3115000,-2447000,668000,-788000,152.28,33.104347826087,0.0404966471081308,N'NASDAQ',Null,Null ,CURRENT_TIMESTAMP, N'Mohan Hanumantha',CURRENT_TIMESTAMP, N'Mohan Hanumantha'),</v>
      </c>
    </row>
    <row r="153" spans="1:1">
      <c r="A153" s="9" t="str">
        <f>CONCATENATE("(N","'",Sheet1!A153,"',",Sheet1!B153,",",Sheet1!C153,",",SQL!D153,Sheet1!D153,",",Sheet1!E153,",",Sheet1!F153,",",Sheet1!G153,",",Sheet1!H153,",",Sheet1!I153,",",Sheet1!J153,",",Sheet1!K153,",",Sheet1!M153,",",Sheet1!N153,",",Sheet1!O153,",",Sheet1!Q153,",",Sheet1!R153,",",Sheet1!S153,",N'",Sheet1!T153,"',","Null",",","Null",$B$2,"),")</f>
        <v>(N'Pioneer Natural Resources Company',2020,19229000,7660000,11569000,6685000,6946000,-261000,-200000,-1.21,2083000,-1668000,415000,381000,70.15,-57.9752066115703,-0.0104009568880337,N'NASDAQ',Null,Null ,CURRENT_TIMESTAMP, N'Mohan Hanumantha',CURRENT_TIMESTAMP, N'Mohan Hanumantha'),</v>
      </c>
    </row>
    <row r="154" spans="1:1">
      <c r="A154" s="9" t="str">
        <f>CONCATENATE("(N","'",Sheet1!A154,"',",Sheet1!B154,",",Sheet1!C154,",",SQL!D154,Sheet1!D154,",",Sheet1!E154,",",Sheet1!F154,",",Sheet1!G154,",",Sheet1!H154,",",Sheet1!I154,",",Sheet1!J154,",",Sheet1!K154,",",Sheet1!M154,",",Sheet1!N154,",",Sheet1!O154,",",Sheet1!Q154,",",Sheet1!R154,",",Sheet1!S154,",N'",Sheet1!T154,"',","Null",",","Null",$B$2,"),")</f>
        <v>(N'Pioneer Natural Resources Company',2021,36811000,13974000,22837000,14643000,11897000,2746000,2118000,9.06,6046000,-856000,5190000,-2807000,158.82,17.5298013245033,0.0575371492217,N'NASDAQ',Null,Null ,CURRENT_TIMESTAMP, N'Mohan Hanumantha',CURRENT_TIMESTAMP, N'Mohan Hanumantha'),</v>
      </c>
    </row>
    <row r="155" spans="1:1">
      <c r="A155" s="9" t="str">
        <f>CONCATENATE("(N","'",Sheet1!A155,"',",Sheet1!B155,",",Sheet1!C155,",",SQL!D155,Sheet1!D155,",",Sheet1!E155,",",Sheet1!F155,",",Sheet1!G155,",",Sheet1!H155,",",Sheet1!I155,",",Sheet1!J155,",",Sheet1!K155,",",Sheet1!M155,",",Sheet1!N155,",",Sheet1!O155,",",Sheet1!Q155,",",Sheet1!R155,",",Sheet1!S155,",N'",Sheet1!T155,"',","Null",",","Null",$B$2,"),")</f>
        <v>(N'Pioneer Natural Resources Company',2022,35740000,13199000,22541000,24294000,14343000,9951000,7845000,32.61,11348000,-3586000,7762000,-10614000,250,7.66636001226618,0.219501958589815,N'NASDAQ',Null,Null ,CURRENT_TIMESTAMP, N'Mohan Hanumantha',CURRENT_TIMESTAMP, N'Mohan Hanumantha'),</v>
      </c>
    </row>
    <row r="156" spans="1:1">
      <c r="A156" s="9" t="str">
        <f>CONCATENATE("(N","'",Sheet1!A156,"',",Sheet1!B156,",",Sheet1!C156,",",SQL!D156,Sheet1!D156,",",Sheet1!E156,",",Sheet1!F156,",",Sheet1!G156,",",Sheet1!H156,",",Sheet1!I156,",",Sheet1!J156,",",Sheet1!K156,",",Sheet1!M156,",",Sheet1!N156,",",Sheet1!O156,",",Sheet1!Q156,",",Sheet1!R156,",",Sheet1!S156,",N'",Sheet1!T156,"',","Null",",","Null",$B$2,"),")</f>
        <v>(N'Range Resources ',2012,6728735,4371343,2357392,1457704,1432648,25056,13002,0.08,647099,-1528558,-881459,881619,58.14,726.75,0.00193230971348998,N'NASDAQ',Null,Null ,CURRENT_TIMESTAMP, N'Mohan Hanumantha',CURRENT_TIMESTAMP, N'Mohan Hanumantha'),</v>
      </c>
    </row>
    <row r="157" spans="1:1">
      <c r="A157" s="9" t="str">
        <f>CONCATENATE("(N","'",Sheet1!A157,"',",Sheet1!B157,",",Sheet1!C157,",",SQL!D157,Sheet1!D157,",",Sheet1!E157,",",Sheet1!F157,",",Sheet1!G157,",",Sheet1!H157,",",Sheet1!I157,",",Sheet1!J157,",",Sheet1!K157,",",Sheet1!M157,",",Sheet1!N157,",",Sheet1!O157,",",Sheet1!Q157,",",Sheet1!R157,",",Sheet1!S157,",N'",Sheet1!T157,"',","Null",",","Null",$B$2,"),")</f>
        <v>(N'Range Resources ',2013,7299086,4884634,2414452,1862719,1713140,149579,115722,0.71,743538,-983436,-239898,239994,81,114.084507042254,0.0158543138140858,N'NASDAQ',Null,Null ,CURRENT_TIMESTAMP, N'Mohan Hanumantha',CURRENT_TIMESTAMP, N'Mohan Hanumantha'),</v>
      </c>
    </row>
    <row r="158" spans="1:1">
      <c r="A158" s="9" t="str">
        <f>CONCATENATE("(N","'",Sheet1!A158,"',",Sheet1!B158,",",Sheet1!C158,",",SQL!D158,Sheet1!D158,",",Sheet1!E158,",",Sheet1!F158,",",Sheet1!G158,",",Sheet1!H158,",",Sheet1!I158,",",Sheet1!J158,",",Sheet1!K158,",",Sheet1!M158,",",Sheet1!N158,",",Sheet1!O158,",",Sheet1!Q158,",",Sheet1!R158,",",Sheet1!S158,",N'",Sheet1!T158,"',","Null",",","Null",$B$2,"),")</f>
        <v>(N'Range Resources ',2014,8746780,5289351,3457429,2711695,1680810,1030885,634382,3.81,954135,-1245456,-291321,291421,82.97,21.7769028871391,0.0725274901163628,N'NASDAQ',Null,Null ,CURRENT_TIMESTAMP, N'Mohan Hanumantha',CURRENT_TIMESTAMP, N'Mohan Hanumantha'),</v>
      </c>
    </row>
    <row r="159" spans="1:1">
      <c r="A159" s="9" t="str">
        <f>CONCATENATE("(N","'",Sheet1!A159,"',",Sheet1!B159,",",Sheet1!C159,",",SQL!D159,Sheet1!D159,",",Sheet1!E159,",",Sheet1!F159,",",Sheet1!G159,",",Sheet1!H159,",",Sheet1!I159,",",Sheet1!J159,",",Sheet1!K159,",",Sheet1!M159,",",Sheet1!N159,",",Sheet1!O159,",",Sheet1!Q159,",",Sheet1!R159,",",Sheet1!S159,",N'",Sheet1!T159,"',","Null",",","Null",$B$2,"),")</f>
        <v>(N'Range Resources ',2015,6900031,4140373,2759658,1598068,2650430,-1052362,-713685,-4.29,691402,-218772,472630,-472607,52.04,-12.1305361305361,-0.103432144000512,N'NASDAQ',Null,Null ,CURRENT_TIMESTAMP, N'Mohan Hanumantha',CURRENT_TIMESTAMP, N'Mohan Hanumantha'),</v>
      </c>
    </row>
    <row r="160" spans="1:1">
      <c r="A160" s="9" t="str">
        <f>CONCATENATE("(N","'",Sheet1!A160,"',",Sheet1!B160,",",Sheet1!C160,",",SQL!D160,Sheet1!D160,",",Sheet1!E160,",",Sheet1!F160,",",Sheet1!G160,",",Sheet1!H160,",",Sheet1!I160,",",Sheet1!J160,",",Sheet1!K160,",",Sheet1!M160,",",Sheet1!N160,",",Sheet1!O160,",",Sheet1!Q160,",",Sheet1!R160,",",Sheet1!S160,",N'",Sheet1!T160,"',","Null",",","Null",$B$2,"),")</f>
        <v>(N'Range Resources ',2016,11282245,5873877,5408368,1099939,1902077,-802138,-521388,-2.75,387068,-308835,78233,-78390,32.38,-11.7745454545455,-0.0462131428629674,N'NASDAQ',Null,Null ,CURRENT_TIMESTAMP, N'Mohan Hanumantha',CURRENT_TIMESTAMP, N'Mohan Hanumantha'),</v>
      </c>
    </row>
    <row r="161" spans="1:1">
      <c r="A161" s="9" t="str">
        <f>CONCATENATE("(N","'",Sheet1!A161,"',",Sheet1!B161,",",Sheet1!C161,",",SQL!D161,Sheet1!D161,",",Sheet1!E161,",",Sheet1!F161,",",Sheet1!G161,",",Sheet1!H161,",",Sheet1!I161,",",Sheet1!J161,",",Sheet1!K161,",",Sheet1!M161,",",Sheet1!N161,",",Sheet1!O161,",",Sheet1!Q161,",",Sheet1!R161,",",Sheet1!S161,",N'",Sheet1!T161,"',","Null",",","Null",$B$2,"),")</f>
        <v>(N'Range Resources ',2017,11728841,5954569,5774272,2611030,2528910,82120,333146,1.34,816254,-1139057,-322803,322937,29.1,21.7164179104478,0.0284040000201213,N'NASDAQ',Null,Null ,CURRENT_TIMESTAMP, N'Mohan Hanumantha',CURRENT_TIMESTAMP, N'Mohan Hanumantha'),</v>
      </c>
    </row>
    <row r="162" spans="1:1">
      <c r="A162" s="9" t="str">
        <f>CONCATENATE("(N","'",Sheet1!A162,"',",Sheet1!B162,",",Sheet1!C162,",",SQL!D162,Sheet1!D162,",",Sheet1!E162,",",Sheet1!F162,",",Sheet1!G162,",",Sheet1!H162,",",Sheet1!I162,",",Sheet1!J162,",",Sheet1!K162,",",Sheet1!M162,",",Sheet1!N162,",",Sheet1!O162,",",Sheet1!Q162,",",Sheet1!R162,",",Sheet1!S162,",N'",Sheet1!T162,"',","Null",",","Null",$B$2,"),")</f>
        <v>(N'Range Resources ',2018,9708154,5648723,4059431,3282645,5059615,-1776970,-1746481,-7.1,990690,-695434,295256,-295159,14.54,-2.04788732394366,-0.179898361727678,N'NASDAQ',Null,Null ,CURRENT_TIMESTAMP, N'Mohan Hanumantha',CURRENT_TIMESTAMP, N'Mohan Hanumantha'),</v>
      </c>
    </row>
    <row r="163" spans="1:1">
      <c r="A163" s="9" t="str">
        <f>CONCATENATE("(N","'",Sheet1!A163,"',",Sheet1!B163,",",Sheet1!C163,",",SQL!D163,Sheet1!D163,",",Sheet1!E163,",",Sheet1!F163,",",Sheet1!G163,",",Sheet1!H163,",",Sheet1!I163,",",Sheet1!J163,",",Sheet1!K163,",",Sheet1!M163,",",Sheet1!N163,",",Sheet1!O163,",",Sheet1!Q163,",",Sheet1!R163,",",Sheet1!S163,",N'",Sheet1!T163,"',","Null",",","Null",$B$2,"),")</f>
        <v>(N'Range Resources ',2019,6612403,4264915,2347488,2827615,5044203,-2216588,-1716297,-6.92,681843,39478,721321,-721320,11.24,-1.6242774566474,-0.259557229043662,N'NASDAQ',Null,Null ,CURRENT_TIMESTAMP, N'Mohan Hanumantha',CURRENT_TIMESTAMP, N'Mohan Hanumantha'),</v>
      </c>
    </row>
    <row r="164" spans="1:1">
      <c r="A164" s="9" t="str">
        <f>CONCATENATE("(N","'",Sheet1!A164,"',",Sheet1!B164,",",Sheet1!C164,",",SQL!D164,Sheet1!D164,",",Sheet1!E164,",",Sheet1!F164,",",Sheet1!G164,",",Sheet1!H164,",",Sheet1!I164,",",Sheet1!J164,",",Sheet1!K164,",",Sheet1!M164,",",Sheet1!N164,",",Sheet1!O164,",",Sheet1!Q164,",",Sheet1!R164,",",Sheet1!S164,",N'",Sheet1!T164,"',","Null",",","Null",$B$2,"),")</f>
        <v>(N'Range Resources ',2020,6136936,4499401,1637535,1968697,2706026,-737329,-711777,-2.95,268680,-184082,84598,-84686,2.28,-0.772881355932203,-0.115982470731323,N'NASDAQ',Null,Null ,CURRENT_TIMESTAMP, N'Mohan Hanumantha',CURRENT_TIMESTAMP, N'Mohan Hanumantha'),</v>
      </c>
    </row>
    <row r="165" spans="1:1">
      <c r="A165" s="9" t="str">
        <f>CONCATENATE("(N","'",Sheet1!A165,"',",Sheet1!B165,",",Sheet1!C165,",",SQL!D165,Sheet1!D165,",",Sheet1!E165,",",Sheet1!F165,",",Sheet1!G165,",",Sheet1!H165,",",Sheet1!I165,",",Sheet1!J165,",",Sheet1!K165,",",Sheet1!M165,",",Sheet1!N165,",",Sheet1!O165,",",Sheet1!Q165,",",Sheet1!R165,",",Sheet1!S165,",N'",Sheet1!T165,"',","Null",",","Null",$B$2,"),")</f>
        <v>(N'Range Resources ',2021,6660507,4574844,2085663,2930223,2528188,402035,411778,1.65,792948,-417879,375069,-161105,10.33,6.26060606060606,0.0618238221204482,N'NASDAQ',Null,Null ,CURRENT_TIMESTAMP, N'Mohan Hanumantha',CURRENT_TIMESTAMP, N'Mohan Hanumantha'),</v>
      </c>
    </row>
    <row r="166" spans="1:1">
      <c r="A166" s="9" t="str">
        <f>CONCATENATE("(N","'",Sheet1!A166,"',",Sheet1!B166,",",Sheet1!C166,",",SQL!D166,Sheet1!D166,",",Sheet1!E166,",",Sheet1!F166,",",Sheet1!G166,",",Sheet1!H166,",",Sheet1!I166,",",Sheet1!J166,",",Sheet1!K166,",",Sheet1!M166,",",Sheet1!N166,",",Sheet1!O166,",",Sheet1!Q166,",",Sheet1!R166,",",Sheet1!S166,",N'",Sheet1!T166,"',","Null",",","Null",$B$2,"),")</f>
        <v>(N'Range Resources ',2022,6625562,3749556,2876006,4146803,2732973,1413830,1183370,4.79,1864744,-489832,1374912,-1589127,30.38,6.34237995824635,0.178606735549377,N'NASDAQ',Null,Null ,CURRENT_TIMESTAMP, N'Mohan Hanumantha',CURRENT_TIMESTAMP, N'Mohan Hanumantha'),</v>
      </c>
    </row>
    <row r="167" spans="1:1">
      <c r="A167" s="9" t="str">
        <f>CONCATENATE("(N","'",Sheet1!A167,"',",Sheet1!B167,",",Sheet1!C167,",",SQL!D167,Sheet1!D167,",",Sheet1!E167,",",Sheet1!F167,",",Sheet1!G167,",",Sheet1!H167,",",Sheet1!I167,",",Sheet1!J167,",",Sheet1!K167,",",Sheet1!M167,",",Sheet1!N167,",",Sheet1!O167,",",Sheet1!Q167,",",Sheet1!R167,",",Sheet1!S167,",N'",Sheet1!T167,"',","Null",",","Null",$B$2,"),")</f>
        <v>(N'Seneca Resources Corporation',2012,5935142,3975047,1960095,1626853,1178804,448049,220077,2.65,659010,-1034561,-375551,369617,48.12,18.1584905660377,0.0370803259635574,N'NASDAQ',Null,Null ,CURRENT_TIMESTAMP, N'Mohan Hanumantha',CURRENT_TIMESTAMP, N'Mohan Hanumantha'),</v>
      </c>
    </row>
    <row r="168" spans="1:1">
      <c r="A168" s="9" t="str">
        <f>CONCATENATE("(N","'",Sheet1!A168,"',",Sheet1!B168,",",Sheet1!C168,",",SQL!D168,Sheet1!D168,",",Sheet1!E168,",",Sheet1!F168,",",Sheet1!G168,",",Sheet1!H168,",",Sheet1!I168,",",Sheet1!J168,",",Sheet1!K168,",",Sheet1!M168,",",Sheet1!N168,",",Sheet1!O168,",",Sheet1!Q168,",",Sheet1!R168,",",Sheet1!S168,",N'",Sheet1!T168,"',","Null",",","Null",$B$2,"),")</f>
        <v>(N'Seneca Resources Corporation',2013,6218347,4023618,2194729,1829551,1311713,517838,260001,3.11,738572,-705983,32589,-42225,61.35,19.7266881028939,0.0418119156103704,N'NASDAQ',Null,Null ,CURRENT_TIMESTAMP, N'Mohan Hanumantha',CURRENT_TIMESTAMP, N'Mohan Hanumantha'),</v>
      </c>
    </row>
    <row r="169" spans="1:1">
      <c r="A169" s="9" t="str">
        <f>CONCATENATE("(N","'",Sheet1!A169,"',",Sheet1!B169,",",Sheet1!C169,",",SQL!D169,Sheet1!D169,",",Sheet1!E169,",",Sheet1!F169,",",Sheet1!G169,",",Sheet1!H169,",",Sheet1!I169,",",Sheet1!J169,",",Sheet1!K169,",",Sheet1!M169,",",Sheet1!N169,",",Sheet1!O169,",",Sheet1!Q169,",",Sheet1!R169,",",Sheet1!S169,",N'",Sheet1!T169,"',","Null",",","Null",$B$2,"),")</f>
        <v>(N'Seneca Resources Corporation',2014,6739597,4328914,2410683,2113081,1543408,569673,299413,3.57,909390,-908435,955,-28927,70.04,19.6190476190476,0.0444259500976097,N'NASDAQ',Null,Null ,CURRENT_TIMESTAMP, N'Mohan Hanumantha',CURRENT_TIMESTAMP, N'Mohan Hanumantha'),</v>
      </c>
    </row>
    <row r="170" spans="1:1">
      <c r="A170" s="9" t="str">
        <f>CONCATENATE("(N","'",Sheet1!A170,"',",Sheet1!B170,",",Sheet1!C170,",",SQL!D170,Sheet1!D170,",",Sheet1!E170,",",Sheet1!F170,",",Sheet1!G170,",",Sheet1!H170,",",Sheet1!I170,",",Sheet1!J170,",",Sheet1!K170,",",Sheet1!M170,",",Sheet1!N170,",",Sheet1!O170,",",Sheet1!Q170,",",Sheet1!R170,",",Sheet1!S170,",N'",Sheet1!T170,"',","Null",",","Null",$B$2,"),")</f>
        <v>(N'Seneca Resources Corporation',2015,6702139,4676699,2025440,1760913,2371966,-611053,-379427,-4.5,853580,-1024790,-171210,247920,60.33,-13.4066666666667,-0.0566128216678287,N'NASDAQ',Null,Null ,CURRENT_TIMESTAMP, N'Mohan Hanumantha',CURRENT_TIMESTAMP, N'Mohan Hanumantha'),</v>
      </c>
    </row>
    <row r="171" spans="1:1">
      <c r="A171" s="9" t="str">
        <f>CONCATENATE("(N","'",Sheet1!A171,"',",Sheet1!B171,",",Sheet1!C171,",",SQL!D171,Sheet1!D171,",",Sheet1!E171,",",Sheet1!F171,",",Sheet1!G171,",",Sheet1!H171,",",Sheet1!I171,",",Sheet1!J171,",",Sheet1!K171,",",Sheet1!M171,",",Sheet1!N171,",",Sheet1!O171,",",Sheet1!Q171,",",Sheet1!R171,",",Sheet1!S171,",N'",Sheet1!T171,"',","Null",",","Null",$B$2,"),")</f>
        <v>(N'Seneca Resources Corporation',2016,5636387,4109383,1527004,1452416,1868934,-416518,-290958,-3.43,588979,-453496,135483,-119107,50.05,-14.5918367346939,-0.0516213666662704,N'NASDAQ',Null,Null ,CURRENT_TIMESTAMP, N'Mohan Hanumantha',CURRENT_TIMESTAMP, N'Mohan Hanumantha'),</v>
      </c>
    </row>
    <row r="172" spans="1:1">
      <c r="A172" s="9" t="str">
        <f>CONCATENATE("(N","'",Sheet1!A172,"',",Sheet1!B172,",",Sheet1!C172,",",SQL!D172,Sheet1!D172,",",Sheet1!E172,",",Sheet1!F172,",",Sheet1!G172,",",Sheet1!H172,",",Sheet1!I172,",",Sheet1!J172,",",Sheet1!K172,",",Sheet1!M172,",",Sheet1!N172,",",Sheet1!O172,",",Sheet1!Q172,",",Sheet1!R172,",",Sheet1!S172,",N'",Sheet1!T172,"',","Null",",","Null",$B$2,"),")</f>
        <v>(N'Seneca Resources Corporation',2017,6103320,4399585,1703735,1579881,1027036,552845,283482,3.32,684251,-422565,261686,163872,59.62,17.9578313253012,0.0464471795678418,N'NASDAQ',Null,Null ,CURRENT_TIMESTAMP, N'Mohan Hanumantha',CURRENT_TIMESTAMP, N'Mohan Hanumantha'),</v>
      </c>
    </row>
    <row r="173" spans="1:1">
      <c r="A173" s="9" t="str">
        <f>CONCATENATE("(N","'",Sheet1!A173,"',",Sheet1!B173,",",Sheet1!C173,",",SQL!D173,Sheet1!D173,",",Sheet1!E173,",",Sheet1!F173,",",Sheet1!G173,",",Sheet1!H173,",",Sheet1!I173,",",Sheet1!J173,",",Sheet1!K173,",",Sheet1!M173,",",Sheet1!N173,",",Sheet1!O173,",",Sheet1!Q173,",",Sheet1!R173,",",Sheet1!S173,",N'",Sheet1!T173,"',","Null",",","Null",$B$2,"),")</f>
        <v>(N'Seneca Resources Corporation',2018,6036486,4099156,1937330,1592668,1072945,519723,391521,4.56,615303,-528887,86416,-410640,51.45,11.2828947368421,0.0648590918623848,N'NASDAQ',Null,Null ,CURRENT_TIMESTAMP, N'Mohan Hanumantha',CURRENT_TIMESTAMP, N'Mohan Hanumantha'),</v>
      </c>
    </row>
    <row r="174" spans="1:1">
      <c r="A174" s="9" t="str">
        <f>CONCATENATE("(N","'",Sheet1!A174,"',",Sheet1!B174,",",Sheet1!C174,",",SQL!D174,Sheet1!D174,",",Sheet1!E174,",",Sheet1!F174,",",Sheet1!G174,",",Sheet1!H174,",",Sheet1!I174,",",Sheet1!J174,",",Sheet1!K174,",",Sheet1!M174,",",Sheet1!N174,",",Sheet1!O174,",",Sheet1!Q174,",",Sheet1!R174,",",Sheet1!S174,",N'",Sheet1!T174,"',","Null",",","Null",$B$2,"),")</f>
        <v>(N'Seneca Resources Corporation',2019,6462157,4323132,2139025,1693332,1181523,511809,304290,3.53,694483,-799175,-104692,-101095,60.96,17.2691218130312,0.047087992445866,N'NASDAQ',Null,Null ,CURRENT_TIMESTAMP, N'Mohan Hanumantha',CURRENT_TIMESTAMP, N'Mohan Hanumantha'),</v>
      </c>
    </row>
    <row r="175" spans="1:1">
      <c r="A175" s="9" t="str">
        <f>CONCATENATE("(N","'",Sheet1!A175,"',",Sheet1!B175,",",Sheet1!C175,",",SQL!D175,Sheet1!D175,",",Sheet1!E175,",",Sheet1!F175,",",Sheet1!G175,",",Sheet1!H175,",",Sheet1!I175,",",Sheet1!J175,",",Sheet1!K175,",",Sheet1!M175,",",Sheet1!N175,",",Sheet1!O175,",",Sheet1!Q175,",",Sheet1!R175,",",Sheet1!S175,",N'",Sheet1!T175,"',","Null",",","Null",$B$2,"),")</f>
        <v>(N'Seneca Resources Corporation',2020,6964935,4992949,1971986,1546291,1516433,29858,-123772,-1.41,740809,-1223616,-482807,476088,37.29,-26.4468085106383,-0.0177707329644857,N'NASDAQ',Null,Null ,CURRENT_TIMESTAMP, N'Mohan Hanumantha',CURRENT_TIMESTAMP, N'Mohan Hanumantha'),</v>
      </c>
    </row>
    <row r="176" spans="1:1">
      <c r="A176" s="9" t="str">
        <f>CONCATENATE("(N","'",Sheet1!A176,"',",Sheet1!B176,",",Sheet1!C176,",",SQL!D176,Sheet1!D176,",",Sheet1!E176,",",Sheet1!F176,",",Sheet1!G176,",",Sheet1!H176,",",Sheet1!I176,",",Sheet1!J176,",",Sheet1!K176,",",Sheet1!M176,",",Sheet1!N176,",",Sheet1!O176,",",Sheet1!Q176,",",Sheet1!R176,",",Sheet1!S176,",N'",Sheet1!T176,"',","Null",",","Null",$B$2,"),")</f>
        <v>(N'Seneca Resources Corporation',2021,7464825,5678619,1786206,1742659,1153801,639924,363647,3.99,791553,633217,1424770,-58739,49.99,12.5288220551378,0.0487147387915993,N'NASDAQ',Null,Null ,CURRENT_TIMESTAMP, N'Mohan Hanumantha',CURRENT_TIMESTAMP, N'Mohan Hanumantha'),</v>
      </c>
    </row>
    <row r="177" spans="1:1">
      <c r="A177" s="9" t="str">
        <f>CONCATENATE("(N","'",Sheet1!A177,"',",Sheet1!B177,",",Sheet1!C177,",",SQL!D177,Sheet1!D177,",",Sheet1!E177,",",Sheet1!F177,",",Sheet1!G177,",",Sheet1!H177,",",Sheet1!I177,",",Sheet1!J177,",",Sheet1!K177,",",Sheet1!M177,",",Sheet1!N177,",",Sheet1!O177,",",Sheet1!Q177,",",Sheet1!R177,",",Sheet1!S177,",N'",Sheet1!T177,"',","Null",",","Null",$B$2,"),")</f>
        <v>(N'SM Energy Company',2012,4199529,2785063,1414466,1505102,1525119,-20017,-54249,-0.83,921969,-1457333,-1457333,422096,70.77,-85.2650602409638,-0.0129178772190881,N'NASDAQ',Null,Null ,CURRENT_TIMESTAMP, N'Mohan Hanumantha',CURRENT_TIMESTAMP, N'Mohan Hanumantha'),</v>
      </c>
    </row>
    <row r="178" spans="1:1">
      <c r="A178" s="9" t="str">
        <f>CONCATENATE("(N","'",Sheet1!A178,"',",Sheet1!B178,",",Sheet1!C178,",",SQL!D178,Sheet1!D178,",",Sheet1!E178,",",Sheet1!F178,",",Sheet1!G178,",",Sheet1!H178,",",Sheet1!I178,",",Sheet1!J178,",",Sheet1!K178,",",Sheet1!M178,",",Sheet1!N178,",",Sheet1!O178,",",Sheet1!Q178,",",Sheet1!R178,",",Sheet1!S178,",N'",Sheet1!T178,"',","Null",",","Null",$B$2,"),")</f>
        <v>(N'SM Energy Company',2013,4705165,3098344,1606821,2293374,1925119,368255,170935,2.57,1338514,-1192903,-1140235,130711,59.22,23.0428015564202,0.0363292254363024,N'NASDAQ',Null,Null ,CURRENT_TIMESTAMP, N'Mohan Hanumantha',CURRENT_TIMESTAMP, N'Mohan Hanumantha'),</v>
      </c>
    </row>
    <row r="179" spans="1:1">
      <c r="A179" s="9" t="str">
        <f>CONCATENATE("(N","'",Sheet1!A179,"',",Sheet1!B179,",",Sheet1!C179,",",SQL!D179,Sheet1!D179,",",Sheet1!E179,",",Sheet1!F179,",",Sheet1!G179,",",Sheet1!H179,",",Sheet1!I179,",",Sheet1!J179,",",Sheet1!K179,",",Sheet1!M179,",",Sheet1!N179,",",Sheet1!O179,",",Sheet1!Q179,",",Sheet1!R179,",",Sheet1!S179,",N'",Sheet1!T179,"',","Null",",","Null",$B$2,"),")</f>
        <v>(N'SM Energy Company',2014,6516700,4230045,2286655,2522307,1356493,1165814,666051,9.91,1456575,-2478749,311936,740046,71.29,7.19374369323915,0.102206791781116,N'NASDAQ',Null,Null ,CURRENT_TIMESTAMP, N'Mohan Hanumantha',CURRENT_TIMESTAMP, N'Mohan Hanumantha'),</v>
      </c>
    </row>
    <row r="180" spans="1:1">
      <c r="A180" s="9" t="str">
        <f>CONCATENATE("(N","'",Sheet1!A180,"',",Sheet1!B180,",",Sheet1!C180,",",SQL!D180,Sheet1!D180,",",Sheet1!E180,",",Sheet1!F180,",",Sheet1!G180,",",Sheet1!H180,",",Sheet1!I180,",",Sheet1!J180,",",Sheet1!K180,",",Sheet1!M180,",",Sheet1!N180,",",Sheet1!O180,",",Sheet1!Q180,",",Sheet1!R180,",",Sheet1!S180,",N'",Sheet1!T180,"',","Null",",","Null",$B$2,"),")</f>
        <v>(N'SM Energy Company',2015,5621643,3769242,1852401,1556965,2135748,-578783,-447710,-6.61,990807,-1144639,-153832,153730,51.68,-7.81845688350983,-0.0796404182905247,N'NASDAQ',Null,Null ,CURRENT_TIMESTAMP, N'Mohan Hanumantha',CURRENT_TIMESTAMP, N'Mohan Hanumantha'),</v>
      </c>
    </row>
    <row r="181" spans="1:1">
      <c r="A181" s="9" t="str">
        <f>CONCATENATE("(N","'",Sheet1!A181,"',",Sheet1!B181,",",Sheet1!C181,",",SQL!D181,Sheet1!D181,",",Sheet1!E181,",",Sheet1!F181,",",Sheet1!G181,",",Sheet1!H181,",",Sheet1!I181,",",Sheet1!J181,",",Sheet1!K181,",",Sheet1!M181,",",Sheet1!N181,",",Sheet1!O181,",",Sheet1!Q181,",",Sheet1!R181,",",Sheet1!S181,",N'",Sheet1!T181,"',","Null",",","Null",$B$2,"),")</f>
        <v>(N'SM Energy Company',2016,6393511,3896378,2497133,1217450,2276765,-1059315,-757744,-9.9,552804,-1867639,-1314835,1327189,18.74,-1.89292929292929,-0.118517665802092,N'NASDAQ',Null,Null ,CURRENT_TIMESTAMP, N'Mohan Hanumantha',CURRENT_TIMESTAMP, N'Mohan Hanumantha'),</v>
      </c>
    </row>
    <row r="182" spans="1:1">
      <c r="A182" s="9" t="str">
        <f>CONCATENATE("(N","'",Sheet1!A182,"',",Sheet1!B182,",",Sheet1!C182,",",SQL!D182,Sheet1!D182,",",Sheet1!E182,",",Sheet1!F182,",",Sheet1!G182,",",Sheet1!H182,",",Sheet1!I182,",",Sheet1!J182,",",Sheet1!K182,",",Sheet1!M182,",",Sheet1!N182,",",Sheet1!O182,",",Sheet1!Q182,",",Sheet1!R182,",",Sheet1!S182,",N'",Sheet1!T182,"',","Null",",","Null",$B$2,"),")</f>
        <v>(N'SM Energy Company',2017,6176776,3782168,2394608,1129376,1297865,-168489,-160843,-1.44,515390,-201530,313860,-12289,24.02,-16.6805555555556,-0.0260399600050253,N'NASDAQ',Null,Null ,CURRENT_TIMESTAMP, N'Mohan Hanumantha',CURRENT_TIMESTAMP, N'Mohan Hanumantha'),</v>
      </c>
    </row>
    <row r="183" spans="1:1">
      <c r="A183" s="9" t="str">
        <f>CONCATENATE("(N","'",Sheet1!A183,"',",Sheet1!B183,",",Sheet1!C183,",",SQL!D183,Sheet1!D183,",",Sheet1!E183,",",Sheet1!F183,",",Sheet1!G183,",",Sheet1!H183,",",Sheet1!I183,",",Sheet1!J183,",",Sheet1!K183,",",Sheet1!M183,",",Sheet1!N183,",",Sheet1!O183,",",Sheet1!Q183,",",Sheet1!R183,",",Sheet1!S183,",N'",Sheet1!T183,"',","Null",",","Null",$B$2,"),")</f>
        <v>(N'SM Energy Company',2018,6352862,3432540,2920322,2067072,1230735,836337,508407,4.54,720629,-587934,132695,-368673,18.03,3.97136563876652,0.0800280251640914,N'NASDAQ',Null,Null ,CURRENT_TIMESTAMP, N'Mohan Hanumantha',CURRENT_TIMESTAMP, N'Mohan Hanumantha'),</v>
      </c>
    </row>
    <row r="184" spans="1:1">
      <c r="A184" s="9" t="str">
        <f>CONCATENATE("(N","'",Sheet1!A184,"',",Sheet1!B184,",",Sheet1!C184,",",SQL!D184,Sheet1!D184,",",Sheet1!E184,",",Sheet1!F184,",",Sheet1!G184,",",Sheet1!H184,",",Sheet1!I184,",",Sheet1!J184,",",Sheet1!K184,",",Sheet1!M184,",",Sheet1!N184,",",Sheet1!O184,",",Sheet1!Q184,",",Sheet1!R184,",",Sheet1!S184,",N'",Sheet1!T184,"',","Null",",","Null",$B$2,"),")</f>
        <v>(N'SM Energy Company',2019,6292232,3543238,2748994,1590105,1660073,-69968,-187001,-1.66,823567,-1013291,-189724,111769,17.49,-10.5361445783133,-0.0297193428341485,N'NASDAQ',Null,Null ,CURRENT_TIMESTAMP, N'Mohan Hanumantha',CURRENT_TIMESTAMP, N'Mohan Hanumantha'),</v>
      </c>
    </row>
    <row r="185" spans="1:1">
      <c r="A185" s="9" t="str">
        <f>CONCATENATE("(N","'",Sheet1!A185,"',",Sheet1!B185,",",Sheet1!C185,",",SQL!D185,Sheet1!D185,",",Sheet1!E185,",",Sheet1!F185,",",Sheet1!G185,",",Sheet1!H185,",",Sheet1!I185,",",Sheet1!J185,",",Sheet1!K185,",",Sheet1!M185,",",Sheet1!N185,",",Sheet1!O185,",",Sheet1!Q185,",",Sheet1!R185,",",Sheet1!S185,",N'",Sheet1!T185,"',","Null",",","Null",$B$2,"),")</f>
        <v>(N'SM Energy Company',2020,4976431,2960271,2016160,1126673,2195623,-1068950,-764614,-6.72,790944,-555566,235378,-235378,1.22,-0.181547619047619,-0.153647061518586,N'NASDAQ',Null,Null ,CURRENT_TIMESTAMP, N'Mohan Hanumantha',CURRENT_TIMESTAMP, N'Mohan Hanumantha'),</v>
      </c>
    </row>
    <row r="186" spans="1:1">
      <c r="A186" s="9" t="str">
        <f>CONCATENATE("(N","'",Sheet1!A186,"',",Sheet1!B186,",",Sheet1!C186,",",SQL!D186,Sheet1!D186,",",Sheet1!E186,",",Sheet1!F186,",",Sheet1!G186,",",Sheet1!H186,",",Sheet1!I186,",",Sheet1!J186,",",Sheet1!K186,",",Sheet1!M186,",",Sheet1!N186,",",Sheet1!O186,",",Sheet1!Q186,",",Sheet1!R186,",",Sheet1!S186,",N'",Sheet1!T186,"',","Null",",","Null",$B$2,"),")</f>
        <v>(N'SM Energy Company',2021,5233977,3170846,2063131,2622894,2413771,209123,36229,0.3,1159772,-667235,492537,-159831,16.37,54.5666666666667,0.00692188750542847,N'NASDAQ',Null,Null ,CURRENT_TIMESTAMP, N'Mohan Hanumantha',CURRENT_TIMESTAMP, N'Mohan Hanumantha'),</v>
      </c>
    </row>
    <row r="187" spans="1:1">
      <c r="A187" s="9" t="str">
        <f>CONCATENATE("(N","'",Sheet1!A187,"',",Sheet1!B187,",",Sheet1!C187,",",SQL!D187,Sheet1!D187,",",Sheet1!E187,",",Sheet1!F187,",",Sheet1!G187,",",Sheet1!H187,",",Sheet1!I187,",",Sheet1!J187,",",Sheet1!K187,",",Sheet1!M187,",",Sheet1!N187,",",Sheet1!O187,",",Sheet1!Q187,",",Sheet1!R187,",",Sheet1!S187,",N'",Sheet1!T187,"',","Null",",","Null",$B$2,"),")</f>
        <v>(N'SM Energy Company',2022,5716039,2630581,3085458,3358647,1779166,1579481,1111952,9.09,1686406,-880263,806143,-693861,38.95,4.28492849284929,0.194531912745872,N'NASDAQ',Null,Null ,CURRENT_TIMESTAMP, N'Mohan Hanumantha',CURRENT_TIMESTAMP, N'Mohan Hanumantha'),</v>
      </c>
    </row>
    <row r="188" spans="1:1">
      <c r="A188" s="9" t="str">
        <f>CONCATENATE("(N","'",Sheet1!A188,"',",Sheet1!B188,",",Sheet1!C188,",",SQL!D188,Sheet1!D188,",",Sheet1!E188,",",Sheet1!F188,",",Sheet1!G188,",",Sheet1!H188,",",Sheet1!I188,",",Sheet1!J188,",",Sheet1!K188,",",Sheet1!M188,",",Sheet1!N188,",",Sheet1!O188,",",Sheet1!Q188,",",Sheet1!R188,",",Sheet1!S188,",N'",Sheet1!T188,"',","Null",",","Null",$B$2,"),")</f>
        <v>(N'Southwestern Energy Company',2012,6737527,3701655,3035872,2730000,3831000,-1101000,-707000,-2.03,1654000,-1907000,-253000,291000,30.6,-15.0738916256158,-0.104934644417751,N'NASDAQ',Null,Null ,CURRENT_TIMESTAMP, N'Mohan Hanumantha',CURRENT_TIMESTAMP, N'Mohan Hanumantha'),</v>
      </c>
    </row>
    <row r="189" spans="1:1">
      <c r="A189" s="9" t="str">
        <f>CONCATENATE("(N","'",Sheet1!A189,"',",Sheet1!B189,",",Sheet1!C189,",",SQL!D189,Sheet1!D189,",",Sheet1!E189,",",Sheet1!F189,",",Sheet1!G189,",",Sheet1!H189,",",Sheet1!I189,",",Sheet1!J189,",",Sheet1!K189,",",Sheet1!M189,",",Sheet1!N189,",",Sheet1!O189,",",Sheet1!Q189,",",Sheet1!R189,",",Sheet1!S189,",N'",Sheet1!T189,"',","Null",",","Null",$B$2,"),")</f>
        <v>(N'Southwestern Energy Company',2013,8048000,4426000,3622000,3371000,2167000,1204000,704000,2.01,1909000,-2216000,-307000,277000,37.26,18.5373134328358,0.0874751491053678,N'NASDAQ',Null,Null ,CURRENT_TIMESTAMP, N'Mohan Hanumantha',CURRENT_TIMESTAMP, N'Mohan Hanumantha'),</v>
      </c>
    </row>
    <row r="190" spans="1:1">
      <c r="A190" s="9" t="str">
        <f>CONCATENATE("(N","'",Sheet1!A190,"',",Sheet1!B190,",",Sheet1!C190,",",SQL!D190,Sheet1!D190,",",Sheet1!E190,",",Sheet1!F190,",",Sheet1!G190,",",Sheet1!H190,",",Sheet1!I190,",",Sheet1!J190,",",Sheet1!K190,",",Sheet1!M190,",",Sheet1!N190,",",Sheet1!O190,",",Sheet1!Q190,",",Sheet1!R190,",",Sheet1!S190,",N'",Sheet1!T190,"',","Null",",","Null",$B$2,"),")</f>
        <v>(N'Southwestern Energy Company',2014,14925000,10263000,4662000,4038000,2665000,1373000,924000,2.63,2335000,-7288000,-4953000,4983000,46.01,17.4942965779468,0.0619095477386935,N'NASDAQ',Null,Null ,CURRENT_TIMESTAMP, N'Mohan Hanumantha',CURRENT_TIMESTAMP, N'Mohan Hanumantha'),</v>
      </c>
    </row>
    <row r="191" spans="1:1">
      <c r="A191" s="9" t="str">
        <f>CONCATENATE("(N","'",Sheet1!A191,"',",Sheet1!B191,",",Sheet1!C191,",",SQL!D191,Sheet1!D191,",",Sheet1!E191,",",Sheet1!F191,",",Sheet1!G191,",",Sheet1!H191,",",Sheet1!I191,",",Sheet1!J191,",",Sheet1!K191,",",Sheet1!M191,",",Sheet1!N191,",",Sheet1!O191,",",Sheet1!Q191,",",Sheet1!R191,",",Sheet1!S191,",N'",Sheet1!T191,"',","Null",",","Null",$B$2,"),")</f>
        <v>(N'Southwestern Energy Company',2015,8110000,5828000,2282000,3133000,9655000,-6522000,-4556,-12.25,1580000,-1638000,-58000,20000,23.19,-1.8930612244898,-0.000561775585696671,N'NASDAQ',Null,Null ,CURRENT_TIMESTAMP, N'Mohan Hanumantha',CURRENT_TIMESTAMP, N'Mohan Hanumantha'),</v>
      </c>
    </row>
    <row r="192" spans="1:1">
      <c r="A192" s="9" t="str">
        <f>CONCATENATE("(N","'",Sheet1!A192,"',",Sheet1!B192,",",Sheet1!C192,",",SQL!D192,Sheet1!D192,",",Sheet1!E192,",",Sheet1!F192,",",Sheet1!G192,",",Sheet1!H192,",",Sheet1!I192,",",Sheet1!J192,",",Sheet1!K192,",",Sheet1!M192,",",Sheet1!N192,",",Sheet1!O192,",",Sheet1!Q192,",",Sheet1!R192,",",Sheet1!S192,",N'",Sheet1!T192,"',","Null",",","Null",$B$2,"),")</f>
        <v>(N'Southwestern Energy Company',2016,7076000,6159000,917000,2436000,4631000,-2195000,-2643,-6.32,498000,-162000,336000,1072,8.07,-1.27689873417722,-0.00037351611079706,N'NASDAQ',Null,Null ,CURRENT_TIMESTAMP, N'Mohan Hanumantha',CURRENT_TIMESTAMP, N'Mohan Hanumantha'),</v>
      </c>
    </row>
    <row r="193" spans="1:1">
      <c r="A193" s="9" t="str">
        <f>CONCATENATE("(N","'",Sheet1!A193,"',",Sheet1!B193,",",Sheet1!C193,",",SQL!D193,Sheet1!D193,",",Sheet1!E193,",",Sheet1!F193,",",Sheet1!G193,",",Sheet1!H193,",",Sheet1!I193,",",Sheet1!J193,",",Sheet1!K193,",",Sheet1!M193,",",Sheet1!N193,",",Sheet1!O193,",",Sheet1!Q193,",",Sheet1!R193,",",Sheet1!S193,",N'",Sheet1!T193,"',","Null",",","Null",$B$2,"),")</f>
        <v>(N'Southwestern Energy Company',2017,7521000,5542000,1979000,3203000,2472000,731000,1046,1.64,1097000,-1252000,-155000,-352000,8.17,4.98170731707317,0.000139077250365643,N'NASDAQ',Null,Null ,CURRENT_TIMESTAMP, N'Mohan Hanumantha',CURRENT_TIMESTAMP, N'Mohan Hanumantha'),</v>
      </c>
    </row>
    <row r="194" spans="1:1">
      <c r="A194" s="9" t="str">
        <f>CONCATENATE("(N","'",Sheet1!A194,"',",Sheet1!B194,",",Sheet1!C194,",",SQL!D194,Sheet1!D194,",",Sheet1!E194,",",Sheet1!F194,",",Sheet1!G194,",",Sheet1!H194,",",Sheet1!I194,",",Sheet1!J194,",",Sheet1!K194,",",Sheet1!M194,",",Sheet1!N194,",",Sheet1!O194,",",Sheet1!Q194,",",Sheet1!R194,",",Sheet1!S194,",N'",Sheet1!T194,"',","Null",",","Null",$B$2,"),")</f>
        <v>(N'Southwestern Energy Company',2018,5797000,3435000,2362000,3862000,3065000,797000,535000,0.93,1223000,359000,1582000,-2297000,4.33,4.65591397849462,0.0922891150595135,N'NASDAQ',Null,Null ,CURRENT_TIMESTAMP, N'Mohan Hanumantha',CURRENT_TIMESTAMP, N'Mohan Hanumantha'),</v>
      </c>
    </row>
    <row r="195" spans="1:1">
      <c r="A195" s="9" t="str">
        <f>CONCATENATE("(N","'",Sheet1!A195,"',",Sheet1!B195,",",Sheet1!C195,",",SQL!D195,Sheet1!D195,",",Sheet1!E195,",",Sheet1!F195,",",Sheet1!G195,",",Sheet1!H195,",",Sheet1!I195,",",Sheet1!J195,",",Sheet1!K195,",",Sheet1!M195,",",Sheet1!N195,",",Sheet1!O195,",",Sheet1!Q195,",",Sheet1!R195,",",Sheet1!S195,",N'",Sheet1!T195,"',","Null",",","Null",$B$2,"),")</f>
        <v>(N'Southwestern Energy Company',2019,6717000,3471000,3246000,3038000,2768000,270000,891000,1.65,964000,-1045000,-81000,-115000,4.69,2.84242424242424,0.132648503796338,N'NASDAQ',Null,Null ,CURRENT_TIMESTAMP, N'Mohan Hanumantha',CURRENT_TIMESTAMP, N'Mohan Hanumantha'),</v>
      </c>
    </row>
    <row r="196" spans="1:1">
      <c r="A196" s="9" t="str">
        <f>CONCATENATE("(N","'",Sheet1!A196,"',",Sheet1!B196,",",Sheet1!C196,",",SQL!D196,Sheet1!D196,",",Sheet1!E196,",",Sheet1!F196,",",Sheet1!G196,",",Sheet1!H196,",",Sheet1!I196,",",Sheet1!J196,",",Sheet1!K196,",",Sheet1!M196,",",Sheet1!N196,",",Sheet1!O196,",",Sheet1!Q196,",",Sheet1!R196,",",Sheet1!S196,",N'",Sheet1!T196,"',","Null",",","Null",$B$2,"),")</f>
        <v>(N'Southwestern Energy Company',2020,5160000,4663000,497000,2308000,5179000,-2871000,-3112000,-5.42,528000,-881000,-353000,361000,1.69,-0.311808118081181,-0.603100775193798,N'NASDAQ',Null,Null ,CURRENT_TIMESTAMP, N'Mohan Hanumantha',CURRENT_TIMESTAMP, N'Mohan Hanumantha'),</v>
      </c>
    </row>
    <row r="197" spans="1:1">
      <c r="A197" s="9" t="str">
        <f>CONCATENATE("(N","'",Sheet1!A197,"',",Sheet1!B197,",",Sheet1!C197,",",SQL!D197,Sheet1!D197,",",Sheet1!E197,",",Sheet1!F197,",",Sheet1!G197,",",Sheet1!H197,",",Sheet1!I197,",",Sheet1!J197,",",Sheet1!K197,",",Sheet1!M197,",",Sheet1!N197,",",Sheet1!O197,",",Sheet1!Q197,",",Sheet1!R197,",",Sheet1!S197,",N'",Sheet1!T197,"',","Null",",","Null",$B$2,"),")</f>
        <v>(N'Southwestern Energy Company',2021,11848000,9301000,2547000,6667000,4032000,2635000,-25000,-0.03,1363000,-2604000,-1241000,1256000,4.65,-155,-0.00211006076975017,N'NASDAQ',Null,Null ,CURRENT_TIMESTAMP, N'Mohan Hanumantha',CURRENT_TIMESTAMP, N'Mohan Hanumantha'),</v>
      </c>
    </row>
    <row r="198" spans="1:1">
      <c r="A198" s="9" t="str">
        <f>CONCATENATE("(N","'",Sheet1!A198,"',",Sheet1!B198,",",Sheet1!C198,",",SQL!D198,Sheet1!D198,",",Sheet1!E198,",",Sheet1!F198,",",Sheet1!G198,",",Sheet1!H198,",",Sheet1!I198,",",Sheet1!J198,",",Sheet1!K198,",",Sheet1!M198,",",Sheet1!N198,",",Sheet1!O198,",",Sheet1!Q198,",",Sheet1!R198,",",Sheet1!S198,",N'",Sheet1!T198,"',","Null",",","Null",$B$2,"),")</f>
        <v>(N'Southwestern Energy Company',2022,12926000,8602000,4324000,15002000,7648000,7354000,1849000,1.67,3154000,-2043000,1111000,-1089000,7.17,4.2934131736527,0.14304502552994,N'NASDAQ',Null,Null ,CURRENT_TIMESTAMP, N'Mohan Hanumantha',CURRENT_TIMESTAMP, N'Mohan Hanumantha'),</v>
      </c>
    </row>
    <row r="199" spans="1:1">
      <c r="A199" s="9" t="str">
        <f>CONCATENATE("(N","'",Sheet1!A199,"',",Sheet1!B199,",",Sheet1!C199,",",SQL!D199,Sheet1!D199,",",Sheet1!E199,",",Sheet1!F199,",",Sheet1!G199,",",Sheet1!H199,",",Sheet1!I199,",",Sheet1!J199,",",Sheet1!K199,",",Sheet1!M199,",",Sheet1!N199,",",Sheet1!O199,",",Sheet1!Q199,",",Sheet1!R199,",",Sheet1!S199,",N'",Sheet1!T199,"',","Null",",","Null",$B$2,"),")</f>
        <v>(N'Vital Energy',2012,2338304,1506581,831723,583894,411954,171940,61654,0.49,376776,-940751,-563975,569197,9376,19134.693877551,0.0263669736698051,N'NASDAQ',Null,Null ,CURRENT_TIMESTAMP, N'Mohan Hanumantha',CURRENT_TIMESTAMP, N'Mohan Hanumantha'),</v>
      </c>
    </row>
    <row r="200" spans="1:1">
      <c r="A200" s="9" t="str">
        <f>CONCATENATE("(N","'",Sheet1!A200,"',",Sheet1!B200,",",Sheet1!C200,",",SQL!D200,Sheet1!D200,",",Sheet1!E200,",",Sheet1!F200,",",Sheet1!G200,",",Sheet1!H200,",",Sheet1!I200,",",Sheet1!J200,",",Sheet1!K200,",",Sheet1!M200,",",Sheet1!N200,",",Sheet1!O200,",",Sheet1!Q200,",",Sheet1!R200,",",Sheet1!S200,",N'",Sheet1!T200,"',","Null",",","Null",$B$2,"),")</f>
        <v>(N'Vital Energy',2013,2623760,1351504,1272256,665257,450906,214351,118000,0.88,364729,-329884,34845,130084,7316,8313.63636363636,0.0449736256364911,N'NASDAQ',Null,Null ,CURRENT_TIMESTAMP, N'Mohan Hanumantha',CURRENT_TIMESTAMP, N'Mohan Hanumantha'),</v>
      </c>
    </row>
    <row r="201" spans="1:1">
      <c r="A201" s="9" t="str">
        <f>CONCATENATE("(N","'",Sheet1!A201,"',",Sheet1!B201,",",Sheet1!C201,",",SQL!D201,Sheet1!D201,",",Sheet1!E201,",",Sheet1!F201,",",Sheet1!G201,",",Sheet1!H201,",",Sheet1!I201,",",Sheet1!J201,",",Sheet1!K201,",",Sheet1!M201,",",Sheet1!N201,",",Sheet1!O201,",",Sheet1!Q201,",",Sheet1!R201,",",Sheet1!S201,",N'",Sheet1!T201,"',","Null",",","Null",$B$2,"),")</f>
        <v>(N'Vital Energy',2014,3932549,2369348,1563201,793885,567499,226386,265573,1.88,498277,-1406961,-908684,739852,10344,5502.12765957447,0.0675320256657959,N'NASDAQ',Null,Null ,CURRENT_TIMESTAMP, N'Mohan Hanumantha',CURRENT_TIMESTAMP, N'Mohan Hanumantha'),</v>
      </c>
    </row>
    <row r="202" spans="1:1">
      <c r="A202" s="9" t="str">
        <f>CONCATENATE("(N","'",Sheet1!A202,"',",Sheet1!B202,",",Sheet1!C202,",",SQL!D202,Sheet1!D202,",",Sheet1!E202,",",Sheet1!F202,",",Sheet1!G202,",",Sheet1!H202,",",Sheet1!I202,",",Sheet1!J202,",",Sheet1!K202,",",Sheet1!M202,",",Sheet1!N202,",",Sheet1!O202,",",Sheet1!Q202,",",Sheet1!R202,",",Sheet1!S202,",N'",Sheet1!T202,"',","Null",",","Null",$B$2,"),")</f>
        <v>(N'Vital Energy',2015,1813287,1681840,131447,606640,3078154,-2471514,-2209936,-11.1,315947,-667507,-351560,353393,5216,-469.90990990991,-1.21874584663101,N'NASDAQ',Null,Null ,CURRENT_TIMESTAMP, N'Mohan Hanumantha',CURRENT_TIMESTAMP, N'Mohan Hanumantha'),</v>
      </c>
    </row>
    <row r="203" spans="1:1">
      <c r="A203" s="9" t="str">
        <f>CONCATENATE("(N","'",Sheet1!A203,"',",Sheet1!B203,",",Sheet1!C203,",",SQL!D203,Sheet1!D203,",",Sheet1!E203,",",Sheet1!F203,",",Sheet1!G203,",",Sheet1!H203,",",Sheet1!I203,",",Sheet1!J203,",",Sheet1!K203,",",Sheet1!M203,",",Sheet1!N203,",",Sheet1!O203,",",Sheet1!Q203,",",Sheet1!R203,",",Sheet1!S203,",N'",Sheet1!T203,"',","Null",",","Null",$B$2,"),")</f>
        <v>(N'Vital Energy',2016,1782346,1601773,180573,597378,685340,-87962,-260739,-1.16,356295,-564402,-208107,209625,3172,-2734.48275862069,-0.146289777630157,N'NASDAQ',Null,Null ,CURRENT_TIMESTAMP, N'Mohan Hanumantha',CURRENT_TIMESTAMP, N'Mohan Hanumantha'),</v>
      </c>
    </row>
    <row r="204" spans="1:1">
      <c r="A204" s="9" t="str">
        <f>CONCATENATE("(N","'",Sheet1!A204,"',",Sheet1!B204,",",Sheet1!C204,",",SQL!D204,Sheet1!D204,",",Sheet1!E204,",",Sheet1!F204,",",Sheet1!G204,",",Sheet1!H204,",",Sheet1!I204,",",Sheet1!J204,",",Sheet1!K204,",",Sheet1!M204,",",Sheet1!N204,",",Sheet1!O204,",",Sheet1!Q204,",",Sheet1!R204,",",Sheet1!S204,",N'",Sheet1!T204,"',","Null",",","Null",$B$2,"),")</f>
        <v>(N'Vital Energy',2017,2023289,1257710,765579,822162,572490,249672,548974,2.3,384914,295050,679964,-600477,5840,2539.13043478261,0.271327526616316,N'NASDAQ',Null,Null ,CURRENT_TIMESTAMP, N'Mohan Hanumantha',CURRENT_TIMESTAMP, N'Mohan Hanumantha'),</v>
      </c>
    </row>
    <row r="205" spans="1:1">
      <c r="A205" s="9" t="str">
        <f>CONCATENATE("(N","'",Sheet1!A205,"',",Sheet1!B205,",",Sheet1!C205,",",SQL!D205,Sheet1!D205,",",Sheet1!E205,",",Sheet1!F205,",",Sheet1!G205,",",Sheet1!H205,",",Sheet1!I205,",",Sheet1!J205,",",Sheet1!K205,",",Sheet1!M205,",",Sheet1!N205,",",Sheet1!O205,",",Sheet1!Q205,",",Sheet1!R205,",",Sheet1!S205,",N'",Sheet1!T205,"',","Null",",","Null",$B$2,"),")</f>
        <v>(N'Vital Energy',2018,2420305,1246075,1174230,1105775,757283,348492,324595,27.94,537804,-690956,-153152,86144,3484,124.695776664281,0.134113262584674,N'NASDAQ',Null,Null ,CURRENT_TIMESTAMP, N'Mohan Hanumantha',CURRENT_TIMESTAMP, N'Mohan Hanumantha'),</v>
      </c>
    </row>
    <row r="206" spans="1:1">
      <c r="A206" s="9" t="str">
        <f>CONCATENATE("(N","'",Sheet1!A206,"',",Sheet1!B206,",",Sheet1!C206,",",SQL!D206,Sheet1!D206,",",Sheet1!E206,",",Sheet1!F206,",",Sheet1!G206,",",Sheet1!H206,",",Sheet1!I206,",",Sheet1!J206,",",Sheet1!K206,",",Sheet1!M206,",",Sheet1!N206,",",Sheet1!O206,",",Sheet1!Q206,",",Sheet1!R206,",",Sheet1!S206,",N'",Sheet1!T206,"',","Null",",","Null",$B$2,"),")</f>
        <v>(N'Vital Energy',2019,2264437,1422563,841874,837281,1245872,-408591,-342459,-29.61,475074,-661711,-186637,182343,1236,-41.742654508612,-0.151233617892659,N'NASDAQ',Null,Null ,CURRENT_TIMESTAMP, N'Mohan Hanumantha',CURRENT_TIMESTAMP, N'Mohan Hanumantha'),</v>
      </c>
    </row>
    <row r="207" spans="1:1">
      <c r="A207" s="9" t="str">
        <f>CONCATENATE("(N","'",Sheet1!A207,"',",Sheet1!B207,",",Sheet1!C207,",",SQL!D207,Sheet1!D207,",",Sheet1!E207,",",Sheet1!F207,",",Sheet1!G207,",",Sheet1!H207,",",Sheet1!I207,",",Sheet1!J207,",",Sheet1!K207,",",Sheet1!M207,",",Sheet1!N207,",",Sheet1!O207,",",Sheet1!Q207,",",Sheet1!R207,",",Sheet1!S207,",N'",Sheet1!T207,"',","Null",",","Null",$B$2,"),")</f>
        <v>(N'Vital Energy',2020,1442610,1464053,-21443,677192,1538925,-861733,-874173,-74.92,383390,-389238,-5848,13748,152,-2.02883075280299,-0.605966269469919,N'NASDAQ',Null,Null ,CURRENT_TIMESTAMP, N'Mohan Hanumantha',CURRENT_TIMESTAMP, N'Mohan Hanumantha'),</v>
      </c>
    </row>
    <row r="208" spans="1:1">
      <c r="A208" s="9" t="str">
        <f>CONCATENATE("(N","'",Sheet1!A208,"',",Sheet1!B208,",",Sheet1!C208,",",SQL!D208,Sheet1!D208,",",Sheet1!E208,",",Sheet1!F208,",",Sheet1!G208,",",Sheet1!H208,",",Sheet1!I208,",",Sheet1!J208,",",Sheet1!K208,",",Sheet1!M208,",",Sheet1!N208,",",Sheet1!O208,",",Sheet1!Q208,",",Sheet1!R208,",",Sheet1!S208,",N'",Sheet1!T208,"',","Null",",","Null",$B$2,"),")</f>
        <v>(N'Vital Energy',2021,2551824,2038044,513780,1394075,681112,712963,145008,10.18,496671,-796811,-300140,308181,30,2.94695481335953,0.0568252355961853,N'NASDAQ',Null,Null ,CURRENT_TIMESTAMP, N'Mohan Hanumantha',CURRENT_TIMESTAMP, N'Mohan Hanumantha'),</v>
      </c>
    </row>
    <row r="209" spans="1:1">
      <c r="A209" s="9" t="str">
        <f>CONCATENATE("(N","'",Sheet1!A209,"',",Sheet1!B209,",",Sheet1!C209,",",SQL!D209,Sheet1!D209,",",Sheet1!E209,",",Sheet1!F209,",",Sheet1!G209,",",Sheet1!H209,",",Sheet1!I209,",",Sheet1!J209,",",Sheet1!K209,",",Sheet1!M209,",",Sheet1!N209,",",Sheet1!O209,",",Sheet1!Q209,",",Sheet1!R209,",",Sheet1!S209,",N'",Sheet1!T209,"',","Null",",","Null",$B$2,"),")</f>
        <v>(N'Vital Energy',2022,2726114,1615368,1110746,1920796,860634,1060162,631512,37.88,829620,-475952,353668,-366031,79,2.08553326293559,0.231652821562121,N'NASDAQ',Null,Null ,CURRENT_TIMESTAMP, N'Mohan Hanumantha',CURRENT_TIMESTAMP, N'Mohan Hanumantha'),</v>
      </c>
    </row>
    <row r="210" spans="1:1">
      <c r="A210" s="9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2108-63D6-E641-8F11-E81E4FF6CEF9}">
  <dimension ref="A4:E209"/>
  <sheetViews>
    <sheetView tabSelected="1" topLeftCell="A11" workbookViewId="0">
      <selection activeCell="E19" sqref="E19"/>
    </sheetView>
  </sheetViews>
  <sheetFormatPr baseColWidth="10" defaultRowHeight="16"/>
  <cols>
    <col min="1" max="1" width="33" bestFit="1" customWidth="1"/>
    <col min="5" max="5" width="187.33203125" bestFit="1" customWidth="1"/>
  </cols>
  <sheetData>
    <row r="4" spans="1:5">
      <c r="E4" s="14"/>
    </row>
    <row r="6" spans="1:5">
      <c r="E6" s="14"/>
    </row>
    <row r="15" spans="1:5">
      <c r="A15" t="s">
        <v>20</v>
      </c>
      <c r="B15">
        <v>2015</v>
      </c>
      <c r="C15">
        <v>2</v>
      </c>
      <c r="D15" t="s">
        <v>19</v>
      </c>
    </row>
    <row r="16" spans="1:5">
      <c r="A16" t="s">
        <v>20</v>
      </c>
      <c r="B16">
        <v>2016</v>
      </c>
      <c r="C16">
        <v>2</v>
      </c>
      <c r="D16" t="s">
        <v>19</v>
      </c>
    </row>
    <row r="17" spans="1:5">
      <c r="A17" t="s">
        <v>20</v>
      </c>
      <c r="B17">
        <v>2017</v>
      </c>
      <c r="C17">
        <v>2</v>
      </c>
      <c r="D17" t="s">
        <v>19</v>
      </c>
    </row>
    <row r="18" spans="1:5">
      <c r="A18" t="s">
        <v>20</v>
      </c>
      <c r="B18">
        <v>2018</v>
      </c>
      <c r="C18">
        <v>2</v>
      </c>
      <c r="D18" t="s">
        <v>19</v>
      </c>
    </row>
    <row r="19" spans="1:5">
      <c r="A19" t="s">
        <v>20</v>
      </c>
      <c r="B19">
        <v>2019</v>
      </c>
      <c r="C19">
        <v>2</v>
      </c>
      <c r="D19" t="s">
        <v>19</v>
      </c>
      <c r="E19" t="s">
        <v>21</v>
      </c>
    </row>
    <row r="20" spans="1:5">
      <c r="A20" t="s">
        <v>20</v>
      </c>
      <c r="B20">
        <v>2020</v>
      </c>
      <c r="C20">
        <v>2</v>
      </c>
      <c r="D20" t="s">
        <v>19</v>
      </c>
      <c r="E20" t="s">
        <v>22</v>
      </c>
    </row>
    <row r="21" spans="1:5">
      <c r="A21" t="s">
        <v>20</v>
      </c>
      <c r="B21">
        <v>2021</v>
      </c>
      <c r="C21">
        <v>2</v>
      </c>
      <c r="D21" t="s">
        <v>19</v>
      </c>
      <c r="E21" t="s">
        <v>23</v>
      </c>
    </row>
    <row r="22" spans="1:5">
      <c r="A22" t="s">
        <v>20</v>
      </c>
      <c r="B22">
        <v>2022</v>
      </c>
      <c r="C22">
        <v>2</v>
      </c>
      <c r="D22" t="s">
        <v>19</v>
      </c>
      <c r="E22" t="s">
        <v>24</v>
      </c>
    </row>
    <row r="23" spans="1:5">
      <c r="A23" t="s">
        <v>25</v>
      </c>
      <c r="B23">
        <v>2022</v>
      </c>
      <c r="C23">
        <v>2</v>
      </c>
      <c r="D23" t="s">
        <v>19</v>
      </c>
      <c r="E23" t="s">
        <v>26</v>
      </c>
    </row>
    <row r="24" spans="1:5">
      <c r="A24" t="s">
        <v>27</v>
      </c>
      <c r="B24">
        <v>2021</v>
      </c>
      <c r="C24">
        <v>2</v>
      </c>
      <c r="D24" t="s">
        <v>19</v>
      </c>
      <c r="E24" t="s">
        <v>28</v>
      </c>
    </row>
    <row r="25" spans="1:5">
      <c r="A25" t="s">
        <v>27</v>
      </c>
      <c r="B25">
        <v>2022</v>
      </c>
      <c r="C25">
        <v>2</v>
      </c>
      <c r="D25" t="s">
        <v>19</v>
      </c>
      <c r="E25" t="s">
        <v>29</v>
      </c>
    </row>
    <row r="26" spans="1:5">
      <c r="A26" t="s">
        <v>30</v>
      </c>
      <c r="B26">
        <v>2012</v>
      </c>
      <c r="C26">
        <v>2</v>
      </c>
      <c r="D26" t="s">
        <v>31</v>
      </c>
      <c r="E26" t="s">
        <v>32</v>
      </c>
    </row>
    <row r="27" spans="1:5">
      <c r="A27" t="s">
        <v>30</v>
      </c>
      <c r="B27">
        <v>2013</v>
      </c>
      <c r="C27">
        <v>2</v>
      </c>
      <c r="D27" t="s">
        <v>31</v>
      </c>
      <c r="E27" t="s">
        <v>33</v>
      </c>
    </row>
    <row r="28" spans="1:5">
      <c r="A28" t="s">
        <v>30</v>
      </c>
      <c r="B28">
        <v>2014</v>
      </c>
      <c r="C28">
        <v>2</v>
      </c>
      <c r="D28" t="s">
        <v>31</v>
      </c>
      <c r="E28" t="s">
        <v>34</v>
      </c>
    </row>
    <row r="29" spans="1:5">
      <c r="A29" t="s">
        <v>30</v>
      </c>
      <c r="B29">
        <v>2015</v>
      </c>
      <c r="C29">
        <v>2</v>
      </c>
      <c r="D29" t="s">
        <v>31</v>
      </c>
      <c r="E29" t="s">
        <v>35</v>
      </c>
    </row>
    <row r="30" spans="1:5">
      <c r="A30" t="s">
        <v>30</v>
      </c>
      <c r="B30">
        <v>2016</v>
      </c>
      <c r="C30">
        <v>2</v>
      </c>
      <c r="D30" t="s">
        <v>31</v>
      </c>
      <c r="E30" t="s">
        <v>36</v>
      </c>
    </row>
    <row r="31" spans="1:5">
      <c r="A31" t="s">
        <v>30</v>
      </c>
      <c r="B31">
        <v>2017</v>
      </c>
      <c r="C31">
        <v>2</v>
      </c>
      <c r="D31" t="s">
        <v>31</v>
      </c>
      <c r="E31" t="s">
        <v>37</v>
      </c>
    </row>
    <row r="32" spans="1:5">
      <c r="A32" t="s">
        <v>30</v>
      </c>
      <c r="B32">
        <v>2018</v>
      </c>
      <c r="C32">
        <v>2</v>
      </c>
      <c r="D32" t="s">
        <v>31</v>
      </c>
      <c r="E32" t="s">
        <v>38</v>
      </c>
    </row>
    <row r="33" spans="1:5">
      <c r="A33" t="s">
        <v>30</v>
      </c>
      <c r="B33">
        <v>2019</v>
      </c>
      <c r="C33">
        <v>2</v>
      </c>
      <c r="D33" t="s">
        <v>31</v>
      </c>
      <c r="E33" t="s">
        <v>39</v>
      </c>
    </row>
    <row r="34" spans="1:5">
      <c r="A34" t="s">
        <v>30</v>
      </c>
      <c r="B34">
        <v>2020</v>
      </c>
      <c r="C34">
        <v>2</v>
      </c>
      <c r="D34" t="s">
        <v>31</v>
      </c>
      <c r="E34" t="s">
        <v>40</v>
      </c>
    </row>
    <row r="35" spans="1:5">
      <c r="A35" t="s">
        <v>30</v>
      </c>
      <c r="B35">
        <v>2021</v>
      </c>
      <c r="C35">
        <v>2</v>
      </c>
      <c r="D35" t="s">
        <v>31</v>
      </c>
      <c r="E35" t="s">
        <v>41</v>
      </c>
    </row>
    <row r="36" spans="1:5">
      <c r="A36" t="s">
        <v>30</v>
      </c>
      <c r="B36">
        <v>2022</v>
      </c>
      <c r="C36">
        <v>2</v>
      </c>
      <c r="D36" t="s">
        <v>31</v>
      </c>
      <c r="E36" t="s">
        <v>42</v>
      </c>
    </row>
    <row r="37" spans="1:5">
      <c r="A37" t="s">
        <v>43</v>
      </c>
      <c r="B37">
        <v>2021</v>
      </c>
      <c r="C37">
        <v>2</v>
      </c>
      <c r="D37" t="s">
        <v>19</v>
      </c>
      <c r="E37" t="s">
        <v>44</v>
      </c>
    </row>
    <row r="38" spans="1:5">
      <c r="A38" t="s">
        <v>43</v>
      </c>
      <c r="B38">
        <v>2022</v>
      </c>
      <c r="C38">
        <v>2</v>
      </c>
      <c r="D38" t="s">
        <v>19</v>
      </c>
      <c r="E38" t="s">
        <v>45</v>
      </c>
    </row>
    <row r="39" spans="1:5">
      <c r="A39" t="s">
        <v>46</v>
      </c>
      <c r="B39">
        <v>2017</v>
      </c>
      <c r="C39">
        <v>2</v>
      </c>
      <c r="D39" t="s">
        <v>19</v>
      </c>
      <c r="E39" t="s">
        <v>47</v>
      </c>
    </row>
    <row r="40" spans="1:5">
      <c r="A40" t="s">
        <v>46</v>
      </c>
      <c r="B40">
        <v>2018</v>
      </c>
      <c r="C40">
        <v>2</v>
      </c>
      <c r="D40" t="s">
        <v>19</v>
      </c>
      <c r="E40" t="s">
        <v>48</v>
      </c>
    </row>
    <row r="41" spans="1:5">
      <c r="A41" t="s">
        <v>46</v>
      </c>
      <c r="B41">
        <v>2019</v>
      </c>
      <c r="C41">
        <v>2</v>
      </c>
      <c r="D41" t="s">
        <v>19</v>
      </c>
      <c r="E41" t="s">
        <v>49</v>
      </c>
    </row>
    <row r="42" spans="1:5">
      <c r="A42" t="s">
        <v>46</v>
      </c>
      <c r="B42">
        <v>2020</v>
      </c>
      <c r="C42">
        <v>2</v>
      </c>
      <c r="D42" t="s">
        <v>19</v>
      </c>
      <c r="E42" t="s">
        <v>50</v>
      </c>
    </row>
    <row r="43" spans="1:5">
      <c r="A43" t="s">
        <v>46</v>
      </c>
      <c r="B43">
        <v>2021</v>
      </c>
      <c r="C43">
        <v>2</v>
      </c>
      <c r="D43" t="s">
        <v>19</v>
      </c>
      <c r="E43" t="s">
        <v>51</v>
      </c>
    </row>
    <row r="44" spans="1:5">
      <c r="A44" t="s">
        <v>46</v>
      </c>
      <c r="B44">
        <v>2022</v>
      </c>
      <c r="C44">
        <v>2</v>
      </c>
      <c r="D44" t="s">
        <v>19</v>
      </c>
      <c r="E44" t="s">
        <v>52</v>
      </c>
    </row>
    <row r="45" spans="1:5">
      <c r="A45" t="s">
        <v>46</v>
      </c>
      <c r="B45">
        <v>2016</v>
      </c>
      <c r="C45">
        <v>2</v>
      </c>
      <c r="D45" t="s">
        <v>19</v>
      </c>
      <c r="E45" t="s">
        <v>53</v>
      </c>
    </row>
    <row r="46" spans="1:5">
      <c r="A46" t="s">
        <v>54</v>
      </c>
      <c r="B46">
        <v>2017</v>
      </c>
      <c r="C46">
        <v>2</v>
      </c>
      <c r="D46" t="s">
        <v>19</v>
      </c>
      <c r="E46" t="s">
        <v>55</v>
      </c>
    </row>
    <row r="47" spans="1:5">
      <c r="A47" t="s">
        <v>54</v>
      </c>
      <c r="B47">
        <v>2018</v>
      </c>
      <c r="C47">
        <v>2</v>
      </c>
      <c r="D47" t="s">
        <v>19</v>
      </c>
      <c r="E47" t="s">
        <v>56</v>
      </c>
    </row>
    <row r="48" spans="1:5">
      <c r="A48" t="s">
        <v>54</v>
      </c>
      <c r="B48">
        <v>2019</v>
      </c>
      <c r="C48">
        <v>2</v>
      </c>
      <c r="D48" t="s">
        <v>19</v>
      </c>
      <c r="E48" t="s">
        <v>57</v>
      </c>
    </row>
    <row r="49" spans="1:5">
      <c r="A49" t="s">
        <v>54</v>
      </c>
      <c r="B49">
        <v>2020</v>
      </c>
      <c r="C49">
        <v>2</v>
      </c>
      <c r="D49" t="s">
        <v>19</v>
      </c>
      <c r="E49" t="s">
        <v>58</v>
      </c>
    </row>
    <row r="50" spans="1:5">
      <c r="A50" t="s">
        <v>54</v>
      </c>
      <c r="B50">
        <v>2021</v>
      </c>
      <c r="C50">
        <v>2</v>
      </c>
      <c r="D50" t="s">
        <v>19</v>
      </c>
      <c r="E50" t="s">
        <v>59</v>
      </c>
    </row>
    <row r="51" spans="1:5">
      <c r="A51" t="s">
        <v>54</v>
      </c>
      <c r="B51">
        <v>2022</v>
      </c>
      <c r="C51">
        <v>2</v>
      </c>
      <c r="D51" t="s">
        <v>19</v>
      </c>
      <c r="E51" t="s">
        <v>60</v>
      </c>
    </row>
    <row r="52" spans="1:5">
      <c r="A52" t="s">
        <v>61</v>
      </c>
      <c r="B52">
        <v>2020</v>
      </c>
      <c r="C52">
        <v>2</v>
      </c>
      <c r="D52" t="s">
        <v>31</v>
      </c>
      <c r="E52" t="s">
        <v>62</v>
      </c>
    </row>
    <row r="53" spans="1:5">
      <c r="A53" t="s">
        <v>61</v>
      </c>
      <c r="B53">
        <v>2021</v>
      </c>
      <c r="C53">
        <v>2</v>
      </c>
      <c r="D53" t="s">
        <v>31</v>
      </c>
      <c r="E53" t="s">
        <v>63</v>
      </c>
    </row>
    <row r="54" spans="1:5">
      <c r="A54" t="s">
        <v>61</v>
      </c>
      <c r="B54">
        <v>2022</v>
      </c>
      <c r="C54">
        <v>2</v>
      </c>
      <c r="D54" t="s">
        <v>31</v>
      </c>
      <c r="E54" t="s">
        <v>64</v>
      </c>
    </row>
    <row r="55" spans="1:5">
      <c r="A55" t="s">
        <v>65</v>
      </c>
      <c r="B55">
        <v>2015</v>
      </c>
      <c r="C55">
        <v>2</v>
      </c>
      <c r="D55" t="s">
        <v>19</v>
      </c>
      <c r="E55" t="s">
        <v>66</v>
      </c>
    </row>
    <row r="56" spans="1:5">
      <c r="A56" t="s">
        <v>65</v>
      </c>
      <c r="B56">
        <v>2016</v>
      </c>
      <c r="C56">
        <v>2</v>
      </c>
      <c r="D56" t="s">
        <v>19</v>
      </c>
      <c r="E56" t="s">
        <v>67</v>
      </c>
    </row>
    <row r="57" spans="1:5">
      <c r="A57" t="s">
        <v>65</v>
      </c>
      <c r="B57">
        <v>2017</v>
      </c>
      <c r="C57">
        <v>2</v>
      </c>
      <c r="D57" t="s">
        <v>19</v>
      </c>
      <c r="E57" t="s">
        <v>68</v>
      </c>
    </row>
    <row r="58" spans="1:5">
      <c r="A58" t="s">
        <v>65</v>
      </c>
      <c r="B58">
        <v>2018</v>
      </c>
      <c r="C58">
        <v>2</v>
      </c>
      <c r="D58" t="s">
        <v>19</v>
      </c>
      <c r="E58" t="s">
        <v>69</v>
      </c>
    </row>
    <row r="59" spans="1:5">
      <c r="A59" t="s">
        <v>65</v>
      </c>
      <c r="B59">
        <v>2019</v>
      </c>
      <c r="C59">
        <v>2</v>
      </c>
      <c r="D59" t="s">
        <v>19</v>
      </c>
      <c r="E59" t="s">
        <v>70</v>
      </c>
    </row>
    <row r="60" spans="1:5">
      <c r="A60" t="s">
        <v>65</v>
      </c>
      <c r="B60">
        <v>2020</v>
      </c>
      <c r="C60">
        <v>2</v>
      </c>
      <c r="D60" t="s">
        <v>19</v>
      </c>
      <c r="E60" t="s">
        <v>71</v>
      </c>
    </row>
    <row r="61" spans="1:5">
      <c r="A61" t="s">
        <v>65</v>
      </c>
      <c r="B61">
        <v>2021</v>
      </c>
      <c r="C61">
        <v>2</v>
      </c>
      <c r="D61" t="s">
        <v>19</v>
      </c>
      <c r="E61" t="s">
        <v>72</v>
      </c>
    </row>
    <row r="62" spans="1:5">
      <c r="A62" t="s">
        <v>65</v>
      </c>
      <c r="B62">
        <v>2022</v>
      </c>
      <c r="C62">
        <v>2</v>
      </c>
      <c r="D62" t="s">
        <v>19</v>
      </c>
      <c r="E62" t="s">
        <v>73</v>
      </c>
    </row>
    <row r="63" spans="1:5">
      <c r="A63" t="s">
        <v>74</v>
      </c>
      <c r="B63">
        <v>2012</v>
      </c>
      <c r="C63">
        <v>2</v>
      </c>
      <c r="D63" t="s">
        <v>19</v>
      </c>
      <c r="E63" t="s">
        <v>75</v>
      </c>
    </row>
    <row r="64" spans="1:5">
      <c r="A64" t="s">
        <v>74</v>
      </c>
      <c r="B64">
        <v>2013</v>
      </c>
      <c r="C64">
        <v>2</v>
      </c>
      <c r="D64" t="s">
        <v>19</v>
      </c>
      <c r="E64" t="s">
        <v>76</v>
      </c>
    </row>
    <row r="65" spans="1:5">
      <c r="A65" t="s">
        <v>74</v>
      </c>
      <c r="B65">
        <v>2014</v>
      </c>
      <c r="C65">
        <v>2</v>
      </c>
      <c r="D65" t="s">
        <v>19</v>
      </c>
      <c r="E65" t="s">
        <v>77</v>
      </c>
    </row>
    <row r="66" spans="1:5">
      <c r="A66" t="s">
        <v>74</v>
      </c>
      <c r="B66">
        <v>2015</v>
      </c>
      <c r="C66">
        <v>2</v>
      </c>
      <c r="D66" t="s">
        <v>19</v>
      </c>
      <c r="E66" t="s">
        <v>78</v>
      </c>
    </row>
    <row r="67" spans="1:5">
      <c r="A67" t="s">
        <v>74</v>
      </c>
      <c r="B67">
        <v>2016</v>
      </c>
      <c r="C67">
        <v>2</v>
      </c>
      <c r="D67" t="s">
        <v>19</v>
      </c>
      <c r="E67" t="s">
        <v>79</v>
      </c>
    </row>
    <row r="68" spans="1:5">
      <c r="A68" t="s">
        <v>74</v>
      </c>
      <c r="B68">
        <v>2017</v>
      </c>
      <c r="C68">
        <v>2</v>
      </c>
      <c r="D68" t="s">
        <v>19</v>
      </c>
      <c r="E68" t="s">
        <v>80</v>
      </c>
    </row>
    <row r="69" spans="1:5">
      <c r="A69" t="s">
        <v>74</v>
      </c>
      <c r="B69">
        <v>2018</v>
      </c>
      <c r="C69">
        <v>2</v>
      </c>
      <c r="D69" t="s">
        <v>19</v>
      </c>
      <c r="E69" t="s">
        <v>81</v>
      </c>
    </row>
    <row r="70" spans="1:5">
      <c r="A70" t="s">
        <v>74</v>
      </c>
      <c r="B70">
        <v>2019</v>
      </c>
      <c r="C70">
        <v>2</v>
      </c>
      <c r="D70" t="s">
        <v>19</v>
      </c>
      <c r="E70" t="s">
        <v>82</v>
      </c>
    </row>
    <row r="71" spans="1:5">
      <c r="A71" t="s">
        <v>74</v>
      </c>
      <c r="B71">
        <v>2020</v>
      </c>
      <c r="C71">
        <v>2</v>
      </c>
      <c r="D71" t="s">
        <v>19</v>
      </c>
      <c r="E71" t="s">
        <v>83</v>
      </c>
    </row>
    <row r="72" spans="1:5">
      <c r="A72" t="s">
        <v>74</v>
      </c>
      <c r="B72">
        <v>2021</v>
      </c>
      <c r="C72">
        <v>2</v>
      </c>
      <c r="D72" t="s">
        <v>19</v>
      </c>
      <c r="E72" t="s">
        <v>84</v>
      </c>
    </row>
    <row r="73" spans="1:5">
      <c r="A73" t="s">
        <v>74</v>
      </c>
      <c r="B73">
        <v>2022</v>
      </c>
      <c r="C73">
        <v>2</v>
      </c>
      <c r="D73" t="s">
        <v>19</v>
      </c>
      <c r="E73" t="s">
        <v>85</v>
      </c>
    </row>
    <row r="74" spans="1:5">
      <c r="A74" t="s">
        <v>86</v>
      </c>
      <c r="B74">
        <v>2012</v>
      </c>
      <c r="C74">
        <v>2</v>
      </c>
      <c r="D74" t="s">
        <v>19</v>
      </c>
      <c r="E74" t="s">
        <v>87</v>
      </c>
    </row>
    <row r="75" spans="1:5">
      <c r="A75" t="s">
        <v>86</v>
      </c>
      <c r="B75">
        <v>2013</v>
      </c>
      <c r="C75">
        <v>2</v>
      </c>
      <c r="D75" t="s">
        <v>19</v>
      </c>
      <c r="E75" t="s">
        <v>88</v>
      </c>
    </row>
    <row r="76" spans="1:5">
      <c r="A76" t="s">
        <v>86</v>
      </c>
      <c r="B76">
        <v>2014</v>
      </c>
      <c r="C76">
        <v>2</v>
      </c>
      <c r="D76" t="s">
        <v>19</v>
      </c>
      <c r="E76" t="s">
        <v>89</v>
      </c>
    </row>
    <row r="77" spans="1:5">
      <c r="A77" t="s">
        <v>86</v>
      </c>
      <c r="B77">
        <v>2015</v>
      </c>
      <c r="C77">
        <v>2</v>
      </c>
      <c r="D77" t="s">
        <v>19</v>
      </c>
      <c r="E77" t="s">
        <v>90</v>
      </c>
    </row>
    <row r="78" spans="1:5">
      <c r="A78" t="s">
        <v>86</v>
      </c>
      <c r="B78">
        <v>2016</v>
      </c>
      <c r="C78">
        <v>2</v>
      </c>
      <c r="D78" t="s">
        <v>19</v>
      </c>
      <c r="E78" t="s">
        <v>91</v>
      </c>
    </row>
    <row r="79" spans="1:5">
      <c r="A79" t="s">
        <v>86</v>
      </c>
      <c r="B79">
        <v>2017</v>
      </c>
      <c r="C79">
        <v>2</v>
      </c>
      <c r="D79" t="s">
        <v>19</v>
      </c>
      <c r="E79" t="s">
        <v>92</v>
      </c>
    </row>
    <row r="80" spans="1:5">
      <c r="A80" t="s">
        <v>86</v>
      </c>
      <c r="B80">
        <v>2018</v>
      </c>
      <c r="C80">
        <v>2</v>
      </c>
      <c r="D80" t="s">
        <v>19</v>
      </c>
      <c r="E80" t="s">
        <v>93</v>
      </c>
    </row>
    <row r="81" spans="1:5">
      <c r="A81" t="s">
        <v>86</v>
      </c>
      <c r="B81">
        <v>2019</v>
      </c>
      <c r="C81">
        <v>2</v>
      </c>
      <c r="D81" t="s">
        <v>19</v>
      </c>
      <c r="E81" t="s">
        <v>94</v>
      </c>
    </row>
    <row r="82" spans="1:5">
      <c r="A82" t="s">
        <v>86</v>
      </c>
      <c r="B82">
        <v>2020</v>
      </c>
      <c r="C82">
        <v>2</v>
      </c>
      <c r="D82" t="s">
        <v>19</v>
      </c>
      <c r="E82" t="s">
        <v>95</v>
      </c>
    </row>
    <row r="83" spans="1:5">
      <c r="A83" t="s">
        <v>86</v>
      </c>
      <c r="B83">
        <v>2021</v>
      </c>
      <c r="C83">
        <v>2</v>
      </c>
      <c r="D83" t="s">
        <v>19</v>
      </c>
      <c r="E83" t="s">
        <v>96</v>
      </c>
    </row>
    <row r="84" spans="1:5">
      <c r="A84" t="s">
        <v>86</v>
      </c>
      <c r="B84">
        <v>2022</v>
      </c>
      <c r="C84">
        <v>2</v>
      </c>
      <c r="D84" t="s">
        <v>19</v>
      </c>
      <c r="E84" t="s">
        <v>97</v>
      </c>
    </row>
    <row r="85" spans="1:5">
      <c r="A85" t="s">
        <v>98</v>
      </c>
      <c r="B85">
        <v>2012</v>
      </c>
      <c r="C85">
        <v>2</v>
      </c>
      <c r="D85" t="s">
        <v>19</v>
      </c>
      <c r="E85" t="s">
        <v>99</v>
      </c>
    </row>
    <row r="86" spans="1:5">
      <c r="A86" t="s">
        <v>98</v>
      </c>
      <c r="B86">
        <v>2013</v>
      </c>
      <c r="C86">
        <v>2</v>
      </c>
      <c r="D86" t="s">
        <v>19</v>
      </c>
      <c r="E86" t="s">
        <v>100</v>
      </c>
    </row>
    <row r="87" spans="1:5">
      <c r="A87" t="s">
        <v>98</v>
      </c>
      <c r="B87">
        <v>2014</v>
      </c>
      <c r="C87">
        <v>2</v>
      </c>
      <c r="D87" t="s">
        <v>19</v>
      </c>
      <c r="E87" t="s">
        <v>101</v>
      </c>
    </row>
    <row r="88" spans="1:5">
      <c r="A88" t="s">
        <v>98</v>
      </c>
      <c r="B88">
        <v>2015</v>
      </c>
      <c r="C88">
        <v>2</v>
      </c>
      <c r="D88" t="s">
        <v>19</v>
      </c>
      <c r="E88" t="s">
        <v>102</v>
      </c>
    </row>
    <row r="89" spans="1:5">
      <c r="A89" t="s">
        <v>98</v>
      </c>
      <c r="B89">
        <v>2016</v>
      </c>
      <c r="C89">
        <v>2</v>
      </c>
      <c r="D89" t="s">
        <v>19</v>
      </c>
      <c r="E89" t="s">
        <v>103</v>
      </c>
    </row>
    <row r="90" spans="1:5">
      <c r="A90" t="s">
        <v>98</v>
      </c>
      <c r="B90">
        <v>2017</v>
      </c>
      <c r="C90">
        <v>2</v>
      </c>
      <c r="D90" t="s">
        <v>19</v>
      </c>
      <c r="E90" t="s">
        <v>104</v>
      </c>
    </row>
    <row r="91" spans="1:5">
      <c r="A91" t="s">
        <v>98</v>
      </c>
      <c r="B91">
        <v>2018</v>
      </c>
      <c r="C91">
        <v>2</v>
      </c>
      <c r="D91" t="s">
        <v>19</v>
      </c>
      <c r="E91" t="s">
        <v>105</v>
      </c>
    </row>
    <row r="92" spans="1:5">
      <c r="A92" t="s">
        <v>98</v>
      </c>
      <c r="B92">
        <v>2019</v>
      </c>
      <c r="C92">
        <v>2</v>
      </c>
      <c r="D92" t="s">
        <v>19</v>
      </c>
      <c r="E92" t="s">
        <v>106</v>
      </c>
    </row>
    <row r="93" spans="1:5">
      <c r="A93" t="s">
        <v>98</v>
      </c>
      <c r="B93">
        <v>2020</v>
      </c>
      <c r="C93">
        <v>2</v>
      </c>
      <c r="D93" t="s">
        <v>19</v>
      </c>
      <c r="E93" t="s">
        <v>107</v>
      </c>
    </row>
    <row r="94" spans="1:5">
      <c r="A94" t="s">
        <v>98</v>
      </c>
      <c r="B94">
        <v>2021</v>
      </c>
      <c r="C94">
        <v>2</v>
      </c>
      <c r="D94" t="s">
        <v>19</v>
      </c>
      <c r="E94" t="s">
        <v>108</v>
      </c>
    </row>
    <row r="95" spans="1:5">
      <c r="A95" t="s">
        <v>98</v>
      </c>
      <c r="B95">
        <v>2022</v>
      </c>
      <c r="C95">
        <v>2</v>
      </c>
      <c r="D95" t="s">
        <v>19</v>
      </c>
      <c r="E95" t="s">
        <v>109</v>
      </c>
    </row>
    <row r="96" spans="1:5">
      <c r="A96" t="s">
        <v>110</v>
      </c>
      <c r="B96">
        <v>2012</v>
      </c>
      <c r="C96">
        <v>2</v>
      </c>
      <c r="D96" t="s">
        <v>19</v>
      </c>
      <c r="E96" t="s">
        <v>111</v>
      </c>
    </row>
    <row r="97" spans="1:5">
      <c r="A97" t="s">
        <v>110</v>
      </c>
      <c r="B97">
        <v>2013</v>
      </c>
      <c r="C97">
        <v>2</v>
      </c>
      <c r="D97" t="s">
        <v>19</v>
      </c>
      <c r="E97" t="s">
        <v>112</v>
      </c>
    </row>
    <row r="98" spans="1:5">
      <c r="A98" t="s">
        <v>110</v>
      </c>
      <c r="B98">
        <v>2014</v>
      </c>
      <c r="C98">
        <v>2</v>
      </c>
      <c r="D98" t="s">
        <v>19</v>
      </c>
      <c r="E98" t="s">
        <v>113</v>
      </c>
    </row>
    <row r="99" spans="1:5">
      <c r="A99" t="s">
        <v>110</v>
      </c>
      <c r="B99">
        <v>2015</v>
      </c>
      <c r="C99">
        <v>2</v>
      </c>
      <c r="D99" t="s">
        <v>19</v>
      </c>
      <c r="E99" t="s">
        <v>114</v>
      </c>
    </row>
    <row r="100" spans="1:5">
      <c r="A100" t="s">
        <v>110</v>
      </c>
      <c r="B100">
        <v>2016</v>
      </c>
      <c r="C100">
        <v>2</v>
      </c>
      <c r="D100" t="s">
        <v>19</v>
      </c>
      <c r="E100" t="s">
        <v>115</v>
      </c>
    </row>
    <row r="101" spans="1:5">
      <c r="A101" t="s">
        <v>110</v>
      </c>
      <c r="B101">
        <v>2017</v>
      </c>
      <c r="C101">
        <v>2</v>
      </c>
      <c r="D101" t="s">
        <v>19</v>
      </c>
      <c r="E101" t="s">
        <v>116</v>
      </c>
    </row>
    <row r="102" spans="1:5">
      <c r="A102" t="s">
        <v>110</v>
      </c>
      <c r="B102">
        <v>2018</v>
      </c>
      <c r="C102">
        <v>2</v>
      </c>
      <c r="D102" t="s">
        <v>19</v>
      </c>
      <c r="E102" t="s">
        <v>117</v>
      </c>
    </row>
    <row r="103" spans="1:5">
      <c r="A103" t="s">
        <v>110</v>
      </c>
      <c r="B103">
        <v>2019</v>
      </c>
      <c r="C103">
        <v>2</v>
      </c>
      <c r="D103" t="s">
        <v>19</v>
      </c>
      <c r="E103" t="s">
        <v>118</v>
      </c>
    </row>
    <row r="104" spans="1:5">
      <c r="A104" t="s">
        <v>110</v>
      </c>
      <c r="B104">
        <v>2020</v>
      </c>
      <c r="C104">
        <v>2</v>
      </c>
      <c r="D104" t="s">
        <v>19</v>
      </c>
      <c r="E104" t="s">
        <v>119</v>
      </c>
    </row>
    <row r="105" spans="1:5">
      <c r="A105" t="s">
        <v>110</v>
      </c>
      <c r="B105">
        <v>2021</v>
      </c>
      <c r="C105">
        <v>2</v>
      </c>
      <c r="D105" t="s">
        <v>19</v>
      </c>
      <c r="E105" t="s">
        <v>120</v>
      </c>
    </row>
    <row r="106" spans="1:5">
      <c r="A106" t="s">
        <v>110</v>
      </c>
      <c r="B106">
        <v>2022</v>
      </c>
      <c r="C106">
        <v>2</v>
      </c>
      <c r="D106" t="s">
        <v>19</v>
      </c>
      <c r="E106" t="s">
        <v>121</v>
      </c>
    </row>
    <row r="107" spans="1:5">
      <c r="A107" t="s">
        <v>122</v>
      </c>
      <c r="B107">
        <v>2012</v>
      </c>
      <c r="C107">
        <v>2</v>
      </c>
      <c r="D107" t="s">
        <v>31</v>
      </c>
      <c r="E107" t="s">
        <v>123</v>
      </c>
    </row>
    <row r="108" spans="1:5">
      <c r="A108" t="s">
        <v>122</v>
      </c>
      <c r="B108">
        <v>2013</v>
      </c>
      <c r="C108">
        <v>2</v>
      </c>
      <c r="D108" t="s">
        <v>31</v>
      </c>
      <c r="E108" t="s">
        <v>124</v>
      </c>
    </row>
    <row r="109" spans="1:5">
      <c r="A109" t="s">
        <v>122</v>
      </c>
      <c r="B109">
        <v>2014</v>
      </c>
      <c r="C109">
        <v>2</v>
      </c>
      <c r="D109" t="s">
        <v>31</v>
      </c>
      <c r="E109" t="s">
        <v>125</v>
      </c>
    </row>
    <row r="110" spans="1:5">
      <c r="A110" t="s">
        <v>122</v>
      </c>
      <c r="B110">
        <v>2015</v>
      </c>
      <c r="C110">
        <v>2</v>
      </c>
      <c r="D110" t="s">
        <v>31</v>
      </c>
      <c r="E110" t="s">
        <v>126</v>
      </c>
    </row>
    <row r="111" spans="1:5">
      <c r="A111" t="s">
        <v>122</v>
      </c>
      <c r="B111">
        <v>2016</v>
      </c>
      <c r="C111">
        <v>2</v>
      </c>
      <c r="D111" t="s">
        <v>31</v>
      </c>
      <c r="E111" t="s">
        <v>127</v>
      </c>
    </row>
    <row r="112" spans="1:5">
      <c r="A112" t="s">
        <v>122</v>
      </c>
      <c r="B112">
        <v>2017</v>
      </c>
      <c r="C112">
        <v>2</v>
      </c>
      <c r="D112" t="s">
        <v>31</v>
      </c>
      <c r="E112" t="s">
        <v>128</v>
      </c>
    </row>
    <row r="113" spans="1:5">
      <c r="A113" t="s">
        <v>122</v>
      </c>
      <c r="B113">
        <v>2018</v>
      </c>
      <c r="C113">
        <v>2</v>
      </c>
      <c r="D113" t="s">
        <v>31</v>
      </c>
      <c r="E113" t="s">
        <v>129</v>
      </c>
    </row>
    <row r="114" spans="1:5">
      <c r="A114" t="s">
        <v>122</v>
      </c>
      <c r="B114">
        <v>2019</v>
      </c>
      <c r="C114">
        <v>2</v>
      </c>
      <c r="D114" t="s">
        <v>31</v>
      </c>
      <c r="E114" t="s">
        <v>130</v>
      </c>
    </row>
    <row r="115" spans="1:5">
      <c r="A115" t="s">
        <v>122</v>
      </c>
      <c r="B115">
        <v>2020</v>
      </c>
      <c r="C115">
        <v>2</v>
      </c>
      <c r="D115" t="s">
        <v>31</v>
      </c>
      <c r="E115" t="s">
        <v>131</v>
      </c>
    </row>
    <row r="116" spans="1:5">
      <c r="A116" t="s">
        <v>122</v>
      </c>
      <c r="B116">
        <v>2021</v>
      </c>
      <c r="C116">
        <v>2</v>
      </c>
      <c r="D116" t="s">
        <v>31</v>
      </c>
      <c r="E116" t="s">
        <v>132</v>
      </c>
    </row>
    <row r="117" spans="1:5">
      <c r="A117" t="s">
        <v>122</v>
      </c>
      <c r="B117">
        <v>2022</v>
      </c>
      <c r="C117">
        <v>2</v>
      </c>
      <c r="D117" t="s">
        <v>31</v>
      </c>
      <c r="E117" t="s">
        <v>133</v>
      </c>
    </row>
    <row r="118" spans="1:5">
      <c r="A118" t="s">
        <v>134</v>
      </c>
      <c r="B118">
        <v>2012</v>
      </c>
      <c r="C118">
        <v>2</v>
      </c>
      <c r="D118" t="s">
        <v>19</v>
      </c>
      <c r="E118" t="s">
        <v>135</v>
      </c>
    </row>
    <row r="119" spans="1:5">
      <c r="A119" t="s">
        <v>134</v>
      </c>
      <c r="B119">
        <v>2013</v>
      </c>
      <c r="C119">
        <v>2</v>
      </c>
      <c r="D119" t="s">
        <v>19</v>
      </c>
      <c r="E119" t="s">
        <v>135</v>
      </c>
    </row>
    <row r="120" spans="1:5">
      <c r="A120" t="s">
        <v>134</v>
      </c>
      <c r="B120">
        <v>2014</v>
      </c>
      <c r="C120">
        <v>2</v>
      </c>
      <c r="D120" t="s">
        <v>19</v>
      </c>
      <c r="E120" t="s">
        <v>136</v>
      </c>
    </row>
    <row r="121" spans="1:5">
      <c r="A121" t="s">
        <v>134</v>
      </c>
      <c r="B121">
        <v>2015</v>
      </c>
      <c r="C121">
        <v>2</v>
      </c>
      <c r="D121" t="s">
        <v>19</v>
      </c>
      <c r="E121" t="s">
        <v>137</v>
      </c>
    </row>
    <row r="122" spans="1:5">
      <c r="A122" t="s">
        <v>134</v>
      </c>
      <c r="B122">
        <v>2016</v>
      </c>
      <c r="C122">
        <v>2</v>
      </c>
      <c r="D122" t="s">
        <v>19</v>
      </c>
      <c r="E122" t="s">
        <v>138</v>
      </c>
    </row>
    <row r="123" spans="1:5">
      <c r="A123" t="s">
        <v>134</v>
      </c>
      <c r="B123">
        <v>2017</v>
      </c>
      <c r="C123">
        <v>2</v>
      </c>
      <c r="D123" t="s">
        <v>19</v>
      </c>
      <c r="E123" t="s">
        <v>139</v>
      </c>
    </row>
    <row r="124" spans="1:5">
      <c r="A124" t="s">
        <v>134</v>
      </c>
      <c r="B124">
        <v>2018</v>
      </c>
      <c r="C124">
        <v>2</v>
      </c>
      <c r="D124" t="s">
        <v>19</v>
      </c>
      <c r="E124" t="s">
        <v>140</v>
      </c>
    </row>
    <row r="125" spans="1:5">
      <c r="A125" t="s">
        <v>134</v>
      </c>
      <c r="B125">
        <v>2019</v>
      </c>
      <c r="C125">
        <v>2</v>
      </c>
      <c r="D125" t="s">
        <v>19</v>
      </c>
      <c r="E125" t="s">
        <v>141</v>
      </c>
    </row>
    <row r="126" spans="1:5">
      <c r="A126" t="s">
        <v>134</v>
      </c>
      <c r="B126">
        <v>2020</v>
      </c>
      <c r="C126">
        <v>2</v>
      </c>
      <c r="D126" t="s">
        <v>19</v>
      </c>
      <c r="E126" t="s">
        <v>142</v>
      </c>
    </row>
    <row r="127" spans="1:5">
      <c r="A127" t="s">
        <v>134</v>
      </c>
      <c r="B127">
        <v>2021</v>
      </c>
      <c r="C127">
        <v>2</v>
      </c>
      <c r="D127" t="s">
        <v>19</v>
      </c>
      <c r="E127" t="s">
        <v>143</v>
      </c>
    </row>
    <row r="128" spans="1:5">
      <c r="A128" t="s">
        <v>134</v>
      </c>
      <c r="B128">
        <v>2022</v>
      </c>
      <c r="C128">
        <v>2</v>
      </c>
      <c r="D128" t="s">
        <v>19</v>
      </c>
      <c r="E128" t="s">
        <v>144</v>
      </c>
    </row>
    <row r="129" spans="1:5">
      <c r="A129" t="s">
        <v>145</v>
      </c>
      <c r="B129">
        <v>2019</v>
      </c>
      <c r="C129">
        <v>2</v>
      </c>
      <c r="D129" t="s">
        <v>19</v>
      </c>
      <c r="E129" t="s">
        <v>146</v>
      </c>
    </row>
    <row r="130" spans="1:5">
      <c r="A130" t="s">
        <v>145</v>
      </c>
      <c r="B130">
        <v>2020</v>
      </c>
      <c r="C130">
        <v>2</v>
      </c>
      <c r="D130" t="s">
        <v>19</v>
      </c>
      <c r="E130" t="s">
        <v>147</v>
      </c>
    </row>
    <row r="131" spans="1:5">
      <c r="A131" t="s">
        <v>145</v>
      </c>
      <c r="B131">
        <v>2021</v>
      </c>
      <c r="C131">
        <v>2</v>
      </c>
      <c r="D131" t="s">
        <v>19</v>
      </c>
      <c r="E131" t="s">
        <v>148</v>
      </c>
    </row>
    <row r="132" spans="1:5">
      <c r="A132" t="s">
        <v>145</v>
      </c>
      <c r="B132">
        <v>2022</v>
      </c>
      <c r="C132">
        <v>2</v>
      </c>
      <c r="D132" t="s">
        <v>19</v>
      </c>
      <c r="E132" t="s">
        <v>149</v>
      </c>
    </row>
    <row r="133" spans="1:5">
      <c r="A133" t="s">
        <v>150</v>
      </c>
      <c r="B133">
        <v>2022</v>
      </c>
      <c r="C133">
        <v>2</v>
      </c>
      <c r="D133" t="s">
        <v>19</v>
      </c>
      <c r="E133" t="s">
        <v>151</v>
      </c>
    </row>
    <row r="134" spans="1:5">
      <c r="A134" t="s">
        <v>152</v>
      </c>
      <c r="B134">
        <v>2012</v>
      </c>
      <c r="C134">
        <v>2</v>
      </c>
      <c r="D134" t="s">
        <v>19</v>
      </c>
      <c r="E134" t="s">
        <v>153</v>
      </c>
    </row>
    <row r="135" spans="1:5">
      <c r="A135" t="s">
        <v>152</v>
      </c>
      <c r="B135">
        <v>2013</v>
      </c>
      <c r="C135">
        <v>2</v>
      </c>
      <c r="D135" t="s">
        <v>19</v>
      </c>
      <c r="E135" t="s">
        <v>154</v>
      </c>
    </row>
    <row r="136" spans="1:5">
      <c r="A136" t="s">
        <v>152</v>
      </c>
      <c r="B136">
        <v>2014</v>
      </c>
      <c r="C136">
        <v>2</v>
      </c>
      <c r="D136" t="s">
        <v>19</v>
      </c>
      <c r="E136" t="s">
        <v>155</v>
      </c>
    </row>
    <row r="137" spans="1:5">
      <c r="A137" t="s">
        <v>152</v>
      </c>
      <c r="B137">
        <v>2015</v>
      </c>
      <c r="C137">
        <v>2</v>
      </c>
      <c r="D137" t="s">
        <v>19</v>
      </c>
      <c r="E137" t="s">
        <v>156</v>
      </c>
    </row>
    <row r="138" spans="1:5">
      <c r="A138" t="s">
        <v>152</v>
      </c>
      <c r="B138">
        <v>2016</v>
      </c>
      <c r="C138">
        <v>2</v>
      </c>
      <c r="D138" t="s">
        <v>19</v>
      </c>
      <c r="E138" t="s">
        <v>157</v>
      </c>
    </row>
    <row r="139" spans="1:5">
      <c r="A139" t="s">
        <v>152</v>
      </c>
      <c r="B139">
        <v>2017</v>
      </c>
      <c r="C139">
        <v>2</v>
      </c>
      <c r="D139" t="s">
        <v>19</v>
      </c>
      <c r="E139" t="s">
        <v>158</v>
      </c>
    </row>
    <row r="140" spans="1:5">
      <c r="A140" t="s">
        <v>152</v>
      </c>
      <c r="B140">
        <v>2018</v>
      </c>
      <c r="C140">
        <v>2</v>
      </c>
      <c r="D140" t="s">
        <v>19</v>
      </c>
      <c r="E140" t="s">
        <v>159</v>
      </c>
    </row>
    <row r="141" spans="1:5">
      <c r="A141" t="s">
        <v>152</v>
      </c>
      <c r="B141">
        <v>2019</v>
      </c>
      <c r="C141">
        <v>2</v>
      </c>
      <c r="D141" t="s">
        <v>19</v>
      </c>
      <c r="E141" t="s">
        <v>160</v>
      </c>
    </row>
    <row r="142" spans="1:5">
      <c r="A142" t="s">
        <v>152</v>
      </c>
      <c r="B142">
        <v>2020</v>
      </c>
      <c r="C142">
        <v>2</v>
      </c>
      <c r="D142" t="s">
        <v>19</v>
      </c>
      <c r="E142" t="s">
        <v>161</v>
      </c>
    </row>
    <row r="143" spans="1:5">
      <c r="A143" t="s">
        <v>152</v>
      </c>
      <c r="B143">
        <v>2021</v>
      </c>
      <c r="C143">
        <v>2</v>
      </c>
      <c r="D143" t="s">
        <v>19</v>
      </c>
      <c r="E143" t="s">
        <v>162</v>
      </c>
    </row>
    <row r="144" spans="1:5">
      <c r="A144" t="s">
        <v>152</v>
      </c>
      <c r="B144">
        <v>2022</v>
      </c>
      <c r="C144">
        <v>2</v>
      </c>
      <c r="D144" t="s">
        <v>19</v>
      </c>
      <c r="E144" t="s">
        <v>163</v>
      </c>
    </row>
    <row r="145" spans="1:5">
      <c r="A145" t="s">
        <v>164</v>
      </c>
      <c r="B145">
        <v>2012</v>
      </c>
      <c r="C145">
        <v>2</v>
      </c>
      <c r="D145" t="s">
        <v>31</v>
      </c>
      <c r="E145" t="s">
        <v>165</v>
      </c>
    </row>
    <row r="146" spans="1:5">
      <c r="A146" t="s">
        <v>164</v>
      </c>
      <c r="B146">
        <v>2013</v>
      </c>
      <c r="C146">
        <v>2</v>
      </c>
      <c r="D146" t="s">
        <v>31</v>
      </c>
      <c r="E146" t="s">
        <v>166</v>
      </c>
    </row>
    <row r="147" spans="1:5">
      <c r="A147" t="s">
        <v>164</v>
      </c>
      <c r="B147">
        <v>2014</v>
      </c>
      <c r="C147">
        <v>2</v>
      </c>
      <c r="D147" t="s">
        <v>31</v>
      </c>
      <c r="E147" t="s">
        <v>167</v>
      </c>
    </row>
    <row r="148" spans="1:5">
      <c r="A148" t="s">
        <v>164</v>
      </c>
      <c r="B148">
        <v>2015</v>
      </c>
      <c r="C148">
        <v>2</v>
      </c>
      <c r="D148" t="s">
        <v>31</v>
      </c>
      <c r="E148" t="s">
        <v>168</v>
      </c>
    </row>
    <row r="149" spans="1:5">
      <c r="A149" t="s">
        <v>164</v>
      </c>
      <c r="B149">
        <v>2016</v>
      </c>
      <c r="C149">
        <v>2</v>
      </c>
      <c r="D149" t="s">
        <v>31</v>
      </c>
      <c r="E149" t="s">
        <v>169</v>
      </c>
    </row>
    <row r="150" spans="1:5">
      <c r="A150" t="s">
        <v>164</v>
      </c>
      <c r="B150">
        <v>2017</v>
      </c>
      <c r="C150">
        <v>2</v>
      </c>
      <c r="D150" t="s">
        <v>31</v>
      </c>
      <c r="E150" t="s">
        <v>170</v>
      </c>
    </row>
    <row r="151" spans="1:5">
      <c r="A151" t="s">
        <v>164</v>
      </c>
      <c r="B151">
        <v>2018</v>
      </c>
      <c r="C151">
        <v>2</v>
      </c>
      <c r="D151" t="s">
        <v>31</v>
      </c>
      <c r="E151" t="s">
        <v>171</v>
      </c>
    </row>
    <row r="152" spans="1:5">
      <c r="A152" t="s">
        <v>164</v>
      </c>
      <c r="B152">
        <v>2019</v>
      </c>
      <c r="C152">
        <v>2</v>
      </c>
      <c r="D152" t="s">
        <v>31</v>
      </c>
      <c r="E152" t="s">
        <v>172</v>
      </c>
    </row>
    <row r="153" spans="1:5">
      <c r="A153" t="s">
        <v>164</v>
      </c>
      <c r="B153">
        <v>2020</v>
      </c>
      <c r="C153">
        <v>2</v>
      </c>
      <c r="D153" t="s">
        <v>31</v>
      </c>
      <c r="E153" t="s">
        <v>173</v>
      </c>
    </row>
    <row r="154" spans="1:5">
      <c r="A154" t="s">
        <v>164</v>
      </c>
      <c r="B154">
        <v>2021</v>
      </c>
      <c r="C154">
        <v>2</v>
      </c>
      <c r="D154" t="s">
        <v>31</v>
      </c>
      <c r="E154" t="s">
        <v>174</v>
      </c>
    </row>
    <row r="155" spans="1:5">
      <c r="A155" t="s">
        <v>164</v>
      </c>
      <c r="B155">
        <v>2022</v>
      </c>
      <c r="C155">
        <v>2</v>
      </c>
      <c r="D155" t="s">
        <v>31</v>
      </c>
      <c r="E155" t="s">
        <v>175</v>
      </c>
    </row>
    <row r="156" spans="1:5">
      <c r="A156" t="s">
        <v>176</v>
      </c>
      <c r="B156">
        <v>2012</v>
      </c>
      <c r="C156">
        <v>2</v>
      </c>
      <c r="D156" t="s">
        <v>19</v>
      </c>
      <c r="E156" t="s">
        <v>177</v>
      </c>
    </row>
    <row r="157" spans="1:5">
      <c r="A157" t="s">
        <v>176</v>
      </c>
      <c r="B157">
        <v>2013</v>
      </c>
      <c r="C157">
        <v>2</v>
      </c>
      <c r="D157" t="s">
        <v>19</v>
      </c>
      <c r="E157" t="s">
        <v>178</v>
      </c>
    </row>
    <row r="158" spans="1:5">
      <c r="A158" t="s">
        <v>176</v>
      </c>
      <c r="B158">
        <v>2014</v>
      </c>
      <c r="C158">
        <v>2</v>
      </c>
      <c r="D158" t="s">
        <v>19</v>
      </c>
      <c r="E158" t="s">
        <v>179</v>
      </c>
    </row>
    <row r="159" spans="1:5">
      <c r="A159" t="s">
        <v>176</v>
      </c>
      <c r="B159">
        <v>2015</v>
      </c>
      <c r="C159">
        <v>2</v>
      </c>
      <c r="D159" t="s">
        <v>19</v>
      </c>
      <c r="E159" t="s">
        <v>180</v>
      </c>
    </row>
    <row r="160" spans="1:5">
      <c r="A160" t="s">
        <v>176</v>
      </c>
      <c r="B160">
        <v>2016</v>
      </c>
      <c r="C160">
        <v>2</v>
      </c>
      <c r="D160" t="s">
        <v>19</v>
      </c>
      <c r="E160" t="s">
        <v>181</v>
      </c>
    </row>
    <row r="161" spans="1:5">
      <c r="A161" t="s">
        <v>176</v>
      </c>
      <c r="B161">
        <v>2017</v>
      </c>
      <c r="C161">
        <v>2</v>
      </c>
      <c r="D161" t="s">
        <v>19</v>
      </c>
      <c r="E161" t="s">
        <v>182</v>
      </c>
    </row>
    <row r="162" spans="1:5">
      <c r="A162" t="s">
        <v>176</v>
      </c>
      <c r="B162">
        <v>2018</v>
      </c>
      <c r="C162">
        <v>2</v>
      </c>
      <c r="D162" t="s">
        <v>19</v>
      </c>
      <c r="E162" t="s">
        <v>183</v>
      </c>
    </row>
    <row r="163" spans="1:5">
      <c r="A163" t="s">
        <v>176</v>
      </c>
      <c r="B163">
        <v>2019</v>
      </c>
      <c r="C163">
        <v>2</v>
      </c>
      <c r="D163" t="s">
        <v>19</v>
      </c>
      <c r="E163" t="s">
        <v>184</v>
      </c>
    </row>
    <row r="164" spans="1:5">
      <c r="A164" t="s">
        <v>176</v>
      </c>
      <c r="B164">
        <v>2020</v>
      </c>
      <c r="C164">
        <v>2</v>
      </c>
      <c r="D164" t="s">
        <v>19</v>
      </c>
      <c r="E164" t="s">
        <v>185</v>
      </c>
    </row>
    <row r="165" spans="1:5">
      <c r="A165" t="s">
        <v>176</v>
      </c>
      <c r="B165">
        <v>2021</v>
      </c>
      <c r="C165">
        <v>2</v>
      </c>
      <c r="D165" t="s">
        <v>19</v>
      </c>
      <c r="E165" t="s">
        <v>186</v>
      </c>
    </row>
    <row r="166" spans="1:5">
      <c r="A166" t="s">
        <v>187</v>
      </c>
      <c r="B166">
        <v>2012</v>
      </c>
      <c r="C166">
        <v>2</v>
      </c>
      <c r="D166" t="s">
        <v>19</v>
      </c>
      <c r="E166" t="s">
        <v>188</v>
      </c>
    </row>
    <row r="167" spans="1:5">
      <c r="A167" t="s">
        <v>187</v>
      </c>
      <c r="B167">
        <v>2013</v>
      </c>
      <c r="C167">
        <v>2</v>
      </c>
      <c r="D167" t="s">
        <v>19</v>
      </c>
      <c r="E167" t="s">
        <v>189</v>
      </c>
    </row>
    <row r="168" spans="1:5">
      <c r="A168" t="s">
        <v>187</v>
      </c>
      <c r="B168">
        <v>2014</v>
      </c>
      <c r="C168">
        <v>2</v>
      </c>
      <c r="D168" t="s">
        <v>19</v>
      </c>
      <c r="E168" t="s">
        <v>190</v>
      </c>
    </row>
    <row r="169" spans="1:5">
      <c r="A169" t="s">
        <v>187</v>
      </c>
      <c r="B169">
        <v>2015</v>
      </c>
      <c r="C169">
        <v>2</v>
      </c>
      <c r="D169" t="s">
        <v>19</v>
      </c>
      <c r="E169" t="s">
        <v>191</v>
      </c>
    </row>
    <row r="170" spans="1:5">
      <c r="A170" t="s">
        <v>187</v>
      </c>
      <c r="B170">
        <v>2016</v>
      </c>
      <c r="C170">
        <v>2</v>
      </c>
      <c r="D170" t="s">
        <v>19</v>
      </c>
      <c r="E170" t="s">
        <v>192</v>
      </c>
    </row>
    <row r="171" spans="1:5">
      <c r="A171" t="s">
        <v>187</v>
      </c>
      <c r="B171">
        <v>2017</v>
      </c>
      <c r="C171">
        <v>2</v>
      </c>
      <c r="D171" t="s">
        <v>19</v>
      </c>
      <c r="E171" t="s">
        <v>193</v>
      </c>
    </row>
    <row r="172" spans="1:5">
      <c r="A172" t="s">
        <v>187</v>
      </c>
      <c r="B172">
        <v>2018</v>
      </c>
      <c r="C172">
        <v>2</v>
      </c>
      <c r="D172" t="s">
        <v>19</v>
      </c>
      <c r="E172" t="s">
        <v>194</v>
      </c>
    </row>
    <row r="173" spans="1:5">
      <c r="A173" t="s">
        <v>187</v>
      </c>
      <c r="B173">
        <v>2019</v>
      </c>
      <c r="C173">
        <v>2</v>
      </c>
      <c r="D173" t="s">
        <v>19</v>
      </c>
      <c r="E173" t="s">
        <v>195</v>
      </c>
    </row>
    <row r="174" spans="1:5">
      <c r="A174" t="s">
        <v>187</v>
      </c>
      <c r="B174">
        <v>2020</v>
      </c>
      <c r="C174">
        <v>2</v>
      </c>
      <c r="D174" t="s">
        <v>19</v>
      </c>
      <c r="E174" t="s">
        <v>196</v>
      </c>
    </row>
    <row r="175" spans="1:5">
      <c r="A175" t="s">
        <v>187</v>
      </c>
      <c r="B175">
        <v>2021</v>
      </c>
      <c r="C175">
        <v>2</v>
      </c>
      <c r="D175" t="s">
        <v>19</v>
      </c>
      <c r="E175" t="s">
        <v>197</v>
      </c>
    </row>
    <row r="176" spans="1:5">
      <c r="A176" t="s">
        <v>187</v>
      </c>
      <c r="B176">
        <v>2022</v>
      </c>
      <c r="C176">
        <v>2</v>
      </c>
      <c r="D176" t="s">
        <v>19</v>
      </c>
      <c r="E176" t="s">
        <v>198</v>
      </c>
    </row>
    <row r="177" spans="1:5">
      <c r="A177" t="s">
        <v>199</v>
      </c>
      <c r="B177">
        <v>2012</v>
      </c>
      <c r="C177">
        <v>2</v>
      </c>
      <c r="D177" t="s">
        <v>19</v>
      </c>
      <c r="E177" t="s">
        <v>200</v>
      </c>
    </row>
    <row r="178" spans="1:5">
      <c r="A178" t="s">
        <v>199</v>
      </c>
      <c r="B178">
        <v>2013</v>
      </c>
      <c r="C178">
        <v>2</v>
      </c>
      <c r="D178" t="s">
        <v>19</v>
      </c>
      <c r="E178" t="s">
        <v>201</v>
      </c>
    </row>
    <row r="179" spans="1:5">
      <c r="A179" t="s">
        <v>199</v>
      </c>
      <c r="B179">
        <v>2014</v>
      </c>
      <c r="C179">
        <v>2</v>
      </c>
      <c r="D179" t="s">
        <v>19</v>
      </c>
      <c r="E179" t="s">
        <v>202</v>
      </c>
    </row>
    <row r="180" spans="1:5">
      <c r="A180" t="s">
        <v>199</v>
      </c>
      <c r="B180">
        <v>2015</v>
      </c>
      <c r="C180">
        <v>2</v>
      </c>
      <c r="D180" t="s">
        <v>19</v>
      </c>
      <c r="E180" t="s">
        <v>203</v>
      </c>
    </row>
    <row r="181" spans="1:5">
      <c r="A181" t="s">
        <v>199</v>
      </c>
      <c r="B181">
        <v>2016</v>
      </c>
      <c r="C181">
        <v>2</v>
      </c>
      <c r="D181" t="s">
        <v>19</v>
      </c>
      <c r="E181" t="s">
        <v>204</v>
      </c>
    </row>
    <row r="182" spans="1:5">
      <c r="A182" t="s">
        <v>199</v>
      </c>
      <c r="B182">
        <v>2017</v>
      </c>
      <c r="C182">
        <v>2</v>
      </c>
      <c r="D182" t="s">
        <v>19</v>
      </c>
      <c r="E182" t="s">
        <v>205</v>
      </c>
    </row>
    <row r="183" spans="1:5">
      <c r="A183" t="s">
        <v>199</v>
      </c>
      <c r="B183">
        <v>2018</v>
      </c>
      <c r="C183">
        <v>2</v>
      </c>
      <c r="D183" t="s">
        <v>19</v>
      </c>
      <c r="E183" t="s">
        <v>206</v>
      </c>
    </row>
    <row r="184" spans="1:5">
      <c r="A184" t="s">
        <v>199</v>
      </c>
      <c r="B184">
        <v>2019</v>
      </c>
      <c r="C184">
        <v>2</v>
      </c>
      <c r="D184" t="s">
        <v>19</v>
      </c>
      <c r="E184" t="s">
        <v>207</v>
      </c>
    </row>
    <row r="185" spans="1:5">
      <c r="A185" t="s">
        <v>199</v>
      </c>
      <c r="B185">
        <v>2020</v>
      </c>
      <c r="C185">
        <v>2</v>
      </c>
      <c r="D185" t="s">
        <v>19</v>
      </c>
      <c r="E185" t="s">
        <v>208</v>
      </c>
    </row>
    <row r="186" spans="1:5">
      <c r="A186" t="s">
        <v>199</v>
      </c>
      <c r="B186">
        <v>2021</v>
      </c>
      <c r="C186">
        <v>2</v>
      </c>
      <c r="D186" t="s">
        <v>19</v>
      </c>
      <c r="E186" t="s">
        <v>209</v>
      </c>
    </row>
    <row r="187" spans="1:5">
      <c r="A187" t="s">
        <v>199</v>
      </c>
      <c r="B187">
        <v>2022</v>
      </c>
      <c r="C187">
        <v>2</v>
      </c>
      <c r="D187" t="s">
        <v>19</v>
      </c>
      <c r="E187" t="s">
        <v>210</v>
      </c>
    </row>
    <row r="188" spans="1:5">
      <c r="A188" t="s">
        <v>211</v>
      </c>
      <c r="B188">
        <v>2012</v>
      </c>
      <c r="C188">
        <v>2</v>
      </c>
      <c r="D188" t="s">
        <v>31</v>
      </c>
      <c r="E188" t="s">
        <v>212</v>
      </c>
    </row>
    <row r="189" spans="1:5">
      <c r="A189" t="s">
        <v>211</v>
      </c>
      <c r="B189">
        <v>2013</v>
      </c>
      <c r="C189">
        <v>2</v>
      </c>
      <c r="D189" t="s">
        <v>31</v>
      </c>
      <c r="E189" t="s">
        <v>213</v>
      </c>
    </row>
    <row r="190" spans="1:5">
      <c r="A190" t="s">
        <v>211</v>
      </c>
      <c r="B190">
        <v>2014</v>
      </c>
      <c r="C190">
        <v>2</v>
      </c>
      <c r="D190" t="s">
        <v>31</v>
      </c>
      <c r="E190" t="s">
        <v>214</v>
      </c>
    </row>
    <row r="191" spans="1:5">
      <c r="A191" t="s">
        <v>211</v>
      </c>
      <c r="B191">
        <v>2015</v>
      </c>
      <c r="C191">
        <v>2</v>
      </c>
      <c r="D191" t="s">
        <v>31</v>
      </c>
      <c r="E191" t="s">
        <v>215</v>
      </c>
    </row>
    <row r="192" spans="1:5">
      <c r="A192" t="s">
        <v>211</v>
      </c>
      <c r="B192">
        <v>2016</v>
      </c>
      <c r="C192">
        <v>2</v>
      </c>
      <c r="D192" t="s">
        <v>31</v>
      </c>
      <c r="E192" t="s">
        <v>216</v>
      </c>
    </row>
    <row r="193" spans="1:5">
      <c r="A193" t="s">
        <v>211</v>
      </c>
      <c r="B193">
        <v>2017</v>
      </c>
      <c r="C193">
        <v>2</v>
      </c>
      <c r="D193" t="s">
        <v>31</v>
      </c>
      <c r="E193" t="s">
        <v>217</v>
      </c>
    </row>
    <row r="194" spans="1:5">
      <c r="A194" t="s">
        <v>211</v>
      </c>
      <c r="B194">
        <v>2018</v>
      </c>
      <c r="C194">
        <v>2</v>
      </c>
      <c r="D194" t="s">
        <v>31</v>
      </c>
      <c r="E194" t="s">
        <v>218</v>
      </c>
    </row>
    <row r="195" spans="1:5">
      <c r="A195" t="s">
        <v>211</v>
      </c>
      <c r="B195">
        <v>2019</v>
      </c>
      <c r="C195">
        <v>2</v>
      </c>
      <c r="D195" t="s">
        <v>31</v>
      </c>
      <c r="E195" t="s">
        <v>219</v>
      </c>
    </row>
    <row r="196" spans="1:5">
      <c r="A196" t="s">
        <v>211</v>
      </c>
      <c r="B196">
        <v>2020</v>
      </c>
      <c r="C196">
        <v>2</v>
      </c>
      <c r="D196" t="s">
        <v>31</v>
      </c>
      <c r="E196" t="s">
        <v>220</v>
      </c>
    </row>
    <row r="197" spans="1:5">
      <c r="A197" t="s">
        <v>211</v>
      </c>
      <c r="B197">
        <v>2021</v>
      </c>
      <c r="C197">
        <v>2</v>
      </c>
      <c r="D197" t="s">
        <v>31</v>
      </c>
      <c r="E197" t="s">
        <v>221</v>
      </c>
    </row>
    <row r="198" spans="1:5">
      <c r="A198" t="s">
        <v>211</v>
      </c>
      <c r="B198">
        <v>2022</v>
      </c>
      <c r="C198">
        <v>2</v>
      </c>
      <c r="D198" t="s">
        <v>31</v>
      </c>
      <c r="E198" t="s">
        <v>222</v>
      </c>
    </row>
    <row r="199" spans="1:5">
      <c r="A199" t="s">
        <v>223</v>
      </c>
      <c r="B199">
        <v>2012</v>
      </c>
      <c r="C199">
        <v>2</v>
      </c>
      <c r="D199" t="s">
        <v>31</v>
      </c>
      <c r="E199" t="s">
        <v>224</v>
      </c>
    </row>
    <row r="200" spans="1:5">
      <c r="A200" t="s">
        <v>223</v>
      </c>
      <c r="B200">
        <v>2013</v>
      </c>
      <c r="C200">
        <v>2</v>
      </c>
      <c r="D200" t="s">
        <v>31</v>
      </c>
      <c r="E200" t="s">
        <v>225</v>
      </c>
    </row>
    <row r="201" spans="1:5">
      <c r="A201" t="s">
        <v>223</v>
      </c>
      <c r="B201">
        <v>2014</v>
      </c>
      <c r="C201">
        <v>2</v>
      </c>
      <c r="D201" t="s">
        <v>31</v>
      </c>
      <c r="E201" t="s">
        <v>226</v>
      </c>
    </row>
    <row r="202" spans="1:5">
      <c r="A202" t="s">
        <v>223</v>
      </c>
      <c r="B202">
        <v>2015</v>
      </c>
      <c r="C202">
        <v>2</v>
      </c>
      <c r="D202" t="s">
        <v>31</v>
      </c>
      <c r="E202" t="s">
        <v>227</v>
      </c>
    </row>
    <row r="203" spans="1:5">
      <c r="A203" t="s">
        <v>223</v>
      </c>
      <c r="B203">
        <v>2016</v>
      </c>
      <c r="C203">
        <v>2</v>
      </c>
      <c r="D203" t="s">
        <v>31</v>
      </c>
      <c r="E203" t="s">
        <v>228</v>
      </c>
    </row>
    <row r="204" spans="1:5">
      <c r="A204" t="s">
        <v>223</v>
      </c>
      <c r="B204">
        <v>2017</v>
      </c>
      <c r="C204">
        <v>2</v>
      </c>
      <c r="D204" t="s">
        <v>31</v>
      </c>
      <c r="E204" t="s">
        <v>229</v>
      </c>
    </row>
    <row r="205" spans="1:5">
      <c r="A205" t="s">
        <v>223</v>
      </c>
      <c r="B205">
        <v>2018</v>
      </c>
      <c r="C205">
        <v>2</v>
      </c>
      <c r="D205" t="s">
        <v>31</v>
      </c>
      <c r="E205" t="s">
        <v>230</v>
      </c>
    </row>
    <row r="206" spans="1:5">
      <c r="A206" t="s">
        <v>223</v>
      </c>
      <c r="B206">
        <v>2019</v>
      </c>
      <c r="C206">
        <v>2</v>
      </c>
      <c r="D206" t="s">
        <v>31</v>
      </c>
      <c r="E206" t="s">
        <v>231</v>
      </c>
    </row>
    <row r="207" spans="1:5">
      <c r="A207" t="s">
        <v>223</v>
      </c>
      <c r="B207">
        <v>2020</v>
      </c>
      <c r="C207">
        <v>2</v>
      </c>
      <c r="D207" t="s">
        <v>31</v>
      </c>
      <c r="E207" t="s">
        <v>232</v>
      </c>
    </row>
    <row r="208" spans="1:5">
      <c r="A208" t="s">
        <v>223</v>
      </c>
      <c r="B208">
        <v>2021</v>
      </c>
      <c r="C208">
        <v>2</v>
      </c>
      <c r="D208" t="s">
        <v>31</v>
      </c>
      <c r="E208" t="s">
        <v>233</v>
      </c>
    </row>
    <row r="209" spans="1:5">
      <c r="A209" t="s">
        <v>223</v>
      </c>
      <c r="B209">
        <v>2022</v>
      </c>
      <c r="C209">
        <v>2</v>
      </c>
      <c r="D209" t="s">
        <v>31</v>
      </c>
      <c r="E2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SQL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Hanumantha, Mohan</dc:creator>
  <cp:lastModifiedBy>mohan ganadal</cp:lastModifiedBy>
  <dcterms:created xsi:type="dcterms:W3CDTF">2023-11-02T21:28:39Z</dcterms:created>
  <dcterms:modified xsi:type="dcterms:W3CDTF">2025-01-05T15:10:21Z</dcterms:modified>
</cp:coreProperties>
</file>